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3" autoFilterDateGrouping="1"/>
  </bookViews>
  <sheets>
    <sheet xmlns:r="http://schemas.openxmlformats.org/officeDocument/2006/relationships" name="Component_Library" sheetId="1" state="visible" r:id="rId1"/>
    <sheet xmlns:r="http://schemas.openxmlformats.org/officeDocument/2006/relationships" name="Material_Database" sheetId="2" state="visible" r:id="rId2"/>
    <sheet xmlns:r="http://schemas.openxmlformats.org/officeDocument/2006/relationships" name="Vendor_Database" sheetId="3" state="visible" r:id="rId3"/>
    <sheet xmlns:r="http://schemas.openxmlformats.org/officeDocument/2006/relationships" name="Pump_Master_List" sheetId="4" state="visible" r:id="rId4"/>
    <sheet xmlns:r="http://schemas.openxmlformats.org/officeDocument/2006/relationships" name="HM200_Dissection_Summary" sheetId="5" state="visible" r:id="rId5"/>
    <sheet xmlns:r="http://schemas.openxmlformats.org/officeDocument/2006/relationships" name="ProdLiquor_300LNN600_Summary" sheetId="6" state="visible" r:id="rId6"/>
    <sheet xmlns:r="http://schemas.openxmlformats.org/officeDocument/2006/relationships" name="Wilo_GSN_Taljhari_Summary" sheetId="7" state="visible" r:id="rId7"/>
    <sheet xmlns:r="http://schemas.openxmlformats.org/officeDocument/2006/relationships" name="Wilo_GSN_Borio_Summary" sheetId="8" state="visible" r:id="rId8"/>
    <sheet xmlns:r="http://schemas.openxmlformats.org/officeDocument/2006/relationships" name="Jyoti_400TE3D4_Summary" sheetId="9" state="visible" r:id="rId9"/>
    <sheet xmlns:r="http://schemas.openxmlformats.org/officeDocument/2006/relationships" name="Jyoti_350TE1A4_Summary" sheetId="10" state="visible" r:id="rId10"/>
    <sheet xmlns:r="http://schemas.openxmlformats.org/officeDocument/2006/relationships" name="Wilo_MPS3_Summary" sheetId="11" state="visible" r:id="rId11"/>
    <sheet xmlns:r="http://schemas.openxmlformats.org/officeDocument/2006/relationships" name="ksb stgc 050" sheetId="12" state="visible" r:id="rId12"/>
    <sheet xmlns:r="http://schemas.openxmlformats.org/officeDocument/2006/relationships" name="ksbvs6" sheetId="13" state="visible" r:id="rId13"/>
    <sheet xmlns:r="http://schemas.openxmlformats.org/officeDocument/2006/relationships" name="ksb wkt 80_9" sheetId="14" state="visible" r:id="rId14"/>
    <sheet xmlns:r="http://schemas.openxmlformats.org/officeDocument/2006/relationships" name="BOM_Templates" sheetId="15" state="visible" r:id="rId15"/>
    <sheet xmlns:r="http://schemas.openxmlformats.org/officeDocument/2006/relationships" name="Physics_Parameters" sheetId="16" state="visible" r:id="rId16"/>
    <sheet xmlns:r="http://schemas.openxmlformats.org/officeDocument/2006/relationships" name="Material_Compatibility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b val="1"/>
      <sz val="14"/>
    </font>
    <font>
      <name val="Arial"/>
      <family val="2"/>
      <b val="1"/>
      <sz val="9"/>
    </font>
    <font>
      <name val="Calibri"/>
      <family val="2"/>
      <b val="1"/>
      <color rgb="FFFFFFFF"/>
      <sz val="13"/>
    </font>
    <font>
      <name val="Calibri"/>
      <family val="2"/>
      <i val="1"/>
      <sz val="9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3"/>
    </font>
    <font>
      <name val="Calibri"/>
      <family val="2"/>
      <i val="1"/>
      <sz val="9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i val="1"/>
      <sz val="10"/>
    </font>
    <font>
      <name val="Calibri"/>
      <family val="2"/>
      <sz val="8"/>
      <scheme val="minor"/>
    </font>
    <font>
      <b val="1"/>
      <color rgb="00FFFFFF"/>
      <sz val="12"/>
    </font>
    <font>
      <i val="1"/>
      <color rgb="00595959"/>
      <sz val="8"/>
    </font>
    <font>
      <b val="1"/>
      <color rgb="00FFFFFF"/>
      <sz val="10"/>
    </font>
    <font>
      <b val="1"/>
      <sz val="9"/>
    </font>
    <font>
      <sz val="9"/>
    </font>
  </fonts>
  <fills count="19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BDD7EE"/>
        <bgColor rgb="FFBDD7EE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0" pivotButton="0" quotePrefix="0" xfId="0"/>
    <xf numFmtId="0" fontId="5" fillId="2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6" fillId="4" borderId="0" pivotButton="0" quotePrefix="0" xfId="0"/>
    <xf numFmtId="0" fontId="3" fillId="4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0" fillId="3" borderId="2" pivotButton="0" quotePrefix="0" xfId="0"/>
    <xf numFmtId="0" fontId="0" fillId="3" borderId="2" applyAlignment="1" pivotButton="0" quotePrefix="0" xfId="0">
      <alignment wrapText="1"/>
    </xf>
    <xf numFmtId="14" fontId="3" fillId="0" borderId="0" pivotButton="0" quotePrefix="0" xfId="0"/>
    <xf numFmtId="0" fontId="0" fillId="3" borderId="2" applyAlignment="1" pivotButton="0" quotePrefix="0" xfId="0">
      <alignment horizontal="center" vertical="center"/>
    </xf>
    <xf numFmtId="0" fontId="10" fillId="0" borderId="0" pivotButton="0" quotePrefix="0" xfId="0"/>
    <xf numFmtId="0" fontId="12" fillId="7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0" fillId="0" borderId="2" applyAlignment="1" pivotButton="0" quotePrefix="0" xfId="0">
      <alignment wrapText="1"/>
    </xf>
    <xf numFmtId="0" fontId="11" fillId="0" borderId="0" pivotButton="0" quotePrefix="0" xfId="0"/>
    <xf numFmtId="0" fontId="0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7" fillId="10" borderId="0" applyAlignment="1" pivotButton="0" quotePrefix="0" xfId="0">
      <alignment vertical="top" wrapText="1"/>
    </xf>
    <xf numFmtId="0" fontId="11" fillId="0" borderId="0" pivotButton="0" quotePrefix="0" xfId="0"/>
    <xf numFmtId="0" fontId="0" fillId="0" borderId="0" pivotButton="0" quotePrefix="0" xfId="0"/>
    <xf numFmtId="0" fontId="9" fillId="6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18" fillId="0" borderId="0" applyAlignment="1" pivotButton="0" quotePrefix="0" xfId="0">
      <alignment vertical="top" wrapText="1"/>
    </xf>
    <xf numFmtId="0" fontId="16" fillId="9" borderId="0" applyAlignment="1" pivotButton="0" quotePrefix="0" xfId="0">
      <alignment vertical="center"/>
    </xf>
    <xf numFmtId="0" fontId="14" fillId="8" borderId="0" applyAlignment="1" pivotButton="0" quotePrefix="0" xfId="0">
      <alignment horizontal="center" vertical="center"/>
    </xf>
    <xf numFmtId="0" fontId="15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4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0" fillId="10" borderId="0" applyAlignment="1" pivotButton="0" quotePrefix="0" xfId="0">
      <alignment vertical="top" wrapText="1"/>
    </xf>
    <xf numFmtId="0" fontId="19" fillId="0" borderId="0" pivotButton="0" quotePrefix="0" xfId="0"/>
    <xf numFmtId="0" fontId="9" fillId="9" borderId="0" pivotButton="0" quotePrefix="0" xfId="0"/>
    <xf numFmtId="0" fontId="7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0" fillId="10" borderId="0" applyAlignment="1" pivotButton="0" quotePrefix="0" xfId="0">
      <alignment vertical="top" wrapText="1"/>
    </xf>
    <xf numFmtId="0" fontId="19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0" fillId="10" borderId="0" applyAlignment="1" pivotButton="0" quotePrefix="0" xfId="0">
      <alignment vertical="top" wrapText="1"/>
    </xf>
    <xf numFmtId="0" fontId="19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1" fillId="11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wrapText="1"/>
    </xf>
    <xf numFmtId="0" fontId="23" fillId="12" borderId="0" pivotButton="0" quotePrefix="0" xfId="0"/>
    <xf numFmtId="0" fontId="24" fillId="13" borderId="5" applyAlignment="1" pivotButton="0" quotePrefix="0" xfId="0">
      <alignment horizontal="center" vertical="center" wrapText="1"/>
    </xf>
    <xf numFmtId="0" fontId="25" fillId="14" borderId="5" applyAlignment="1" pivotButton="0" quotePrefix="0" xfId="0">
      <alignment vertical="top" wrapText="1"/>
    </xf>
    <xf numFmtId="0" fontId="25" fillId="15" borderId="5" applyAlignment="1" pivotButton="0" quotePrefix="0" xfId="0">
      <alignment vertical="top" wrapText="1"/>
    </xf>
    <xf numFmtId="0" fontId="21" fillId="16" borderId="0" applyAlignment="1" pivotButton="0" quotePrefix="0" xfId="0">
      <alignment horizontal="center" vertical="center" wrapText="1"/>
    </xf>
    <xf numFmtId="0" fontId="23" fillId="16" borderId="0" pivotButton="0" quotePrefix="0" xfId="0"/>
    <xf numFmtId="0" fontId="21" fillId="17" borderId="0" applyAlignment="1" pivotButton="0" quotePrefix="0" xfId="0">
      <alignment horizontal="center" vertical="center" wrapText="1"/>
    </xf>
    <xf numFmtId="0" fontId="23" fillId="17" borderId="0" pivotButton="0" quotePrefix="0" xfId="0"/>
    <xf numFmtId="0" fontId="24" fillId="18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zoomScale="102" workbookViewId="0">
      <pane ySplit="1" topLeftCell="A162" activePane="bottomLeft" state="frozen"/>
      <selection pane="bottomLeft" activeCell="B168" sqref="B168"/>
    </sheetView>
  </sheetViews>
  <sheetFormatPr baseColWidth="8" defaultRowHeight="15"/>
  <cols>
    <col width="23.5703125" customWidth="1" style="64" min="1" max="1"/>
    <col width="46.85546875" customWidth="1" style="64" min="2" max="2"/>
    <col width="20" customWidth="1" style="64" min="3" max="3"/>
    <col width="18" customWidth="1" style="64" min="4" max="5"/>
    <col width="38.5703125" customWidth="1" style="64" min="6" max="6"/>
    <col width="31" customWidth="1" style="64" min="7" max="7"/>
    <col width="12" customWidth="1" style="64" min="8" max="8"/>
    <col width="10" customWidth="1" style="64" min="9" max="9"/>
    <col width="25" customWidth="1" style="64" min="10" max="10"/>
    <col width="15" customWidth="1" style="64" min="11" max="12"/>
    <col width="166.28515625" customWidth="1" style="64" min="13" max="13"/>
  </cols>
  <sheetData>
    <row r="1" ht="30" customHeight="1" s="64">
      <c r="A1" s="1" t="inlineStr">
        <is>
          <t>Component_ID</t>
        </is>
      </c>
      <c r="B1" s="1" t="inlineStr">
        <is>
          <t>Component_Name</t>
        </is>
      </c>
      <c r="C1" s="1" t="inlineStr">
        <is>
          <t>Vendor_Part_No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Pump_Model_Compatibility</t>
        </is>
      </c>
      <c r="G1" s="1" t="inlineStr">
        <is>
          <t>Vendor_Name</t>
        </is>
      </c>
      <c r="H1" s="1" t="inlineStr">
        <is>
          <t>Qty_Per_Unit</t>
        </is>
      </c>
      <c r="I1" s="1" t="inlineStr">
        <is>
          <t>Unit</t>
        </is>
      </c>
      <c r="J1" s="1" t="inlineStr">
        <is>
          <t>Material_Spec</t>
        </is>
      </c>
      <c r="K1" s="1" t="inlineStr">
        <is>
          <t>Weight_kg</t>
        </is>
      </c>
      <c r="L1" s="1" t="inlineStr">
        <is>
          <t>Lead_Time_Days</t>
        </is>
      </c>
      <c r="M1" s="1" t="inlineStr">
        <is>
          <t>Notes</t>
        </is>
      </c>
    </row>
    <row r="2" ht="25.5" customHeight="1" s="64">
      <c r="A2" s="2" t="inlineStr">
        <is>
          <t>PUMP-FLW-LNN600</t>
        </is>
      </c>
      <c r="B2" s="3" t="inlineStr">
        <is>
          <t>Pump Assembly - Flowserve 300-LNN-600</t>
        </is>
      </c>
      <c r="C2" s="2" t="inlineStr">
        <is>
          <t>MS2425801</t>
        </is>
      </c>
      <c r="D2" s="2" t="inlineStr">
        <is>
          <t>Pump</t>
        </is>
      </c>
      <c r="E2" s="2" t="inlineStr">
        <is>
          <t>Centrifugal Horizontal</t>
        </is>
      </c>
      <c r="F2" s="2" t="inlineStr">
        <is>
          <t>Flowserve 300-LNN-600</t>
        </is>
      </c>
      <c r="G2" s="2" t="inlineStr">
        <is>
          <t>Flowserve</t>
        </is>
      </c>
      <c r="H2" s="2" t="inlineStr">
        <is>
          <t>1</t>
        </is>
      </c>
      <c r="I2" s="2" t="inlineStr">
        <is>
          <t>EA</t>
        </is>
      </c>
      <c r="J2" s="3" t="inlineStr">
        <is>
          <t>Various (See Components)</t>
        </is>
      </c>
      <c r="K2" s="2" t="inlineStr">
        <is>
          <t>1160</t>
        </is>
      </c>
      <c r="L2" s="2" t="n"/>
      <c r="M2" s="3" t="inlineStr">
        <is>
          <t>Double suction horizontally split case, Single stage</t>
        </is>
      </c>
    </row>
    <row r="3">
      <c r="A3" s="2" t="inlineStr">
        <is>
          <t>CAS-FLW-001</t>
        </is>
      </c>
      <c r="B3" s="3" t="inlineStr">
        <is>
          <t>Volute Casing 300-LNN-600</t>
        </is>
      </c>
      <c r="C3" s="2" t="n"/>
      <c r="D3" s="2" t="inlineStr">
        <is>
          <t>Casing</t>
        </is>
      </c>
      <c r="E3" s="2" t="inlineStr">
        <is>
          <t>Pump Hydraulics</t>
        </is>
      </c>
      <c r="F3" s="2" t="inlineStr">
        <is>
          <t>Flowserve 300-LNN-600</t>
        </is>
      </c>
      <c r="G3" s="2" t="inlineStr">
        <is>
          <t>Flowserve</t>
        </is>
      </c>
      <c r="H3" s="2" t="inlineStr">
        <is>
          <t>1</t>
        </is>
      </c>
      <c r="I3" s="2" t="inlineStr">
        <is>
          <t>EA</t>
        </is>
      </c>
      <c r="J3" s="3" t="inlineStr">
        <is>
          <t>ASTM A216 WCB</t>
        </is>
      </c>
      <c r="K3" s="2" t="n"/>
      <c r="L3" s="2" t="n"/>
      <c r="M3" s="3" t="inlineStr">
        <is>
          <t>Horizontally split, PN16 rating</t>
        </is>
      </c>
    </row>
    <row r="4" ht="25.5" customHeight="1" s="64">
      <c r="A4" s="2" t="inlineStr">
        <is>
          <t>IMP-FLW-001</t>
        </is>
      </c>
      <c r="B4" s="3" t="inlineStr">
        <is>
          <t>Impeller Closed Type</t>
        </is>
      </c>
      <c r="C4" s="2" t="n"/>
      <c r="D4" s="2" t="inlineStr">
        <is>
          <t>Impeller</t>
        </is>
      </c>
      <c r="E4" s="2" t="inlineStr">
        <is>
          <t>Pump Hydraulics</t>
        </is>
      </c>
      <c r="F4" s="2" t="inlineStr">
        <is>
          <t>Flowserve 300-LNN-600</t>
        </is>
      </c>
      <c r="G4" s="2" t="inlineStr">
        <is>
          <t>Flowserve</t>
        </is>
      </c>
      <c r="H4" s="2" t="inlineStr">
        <is>
          <t>1</t>
        </is>
      </c>
      <c r="I4" s="2" t="inlineStr">
        <is>
          <t>EA</t>
        </is>
      </c>
      <c r="J4" s="3" t="inlineStr">
        <is>
          <t>12% Chrome Steel A487</t>
        </is>
      </c>
      <c r="K4" s="2" t="n"/>
      <c r="L4" s="2" t="n"/>
      <c r="M4" s="3" t="inlineStr">
        <is>
          <t>Diameter: 600mm rated, 480mm min, 600mm max</t>
        </is>
      </c>
    </row>
    <row r="5" ht="25.5" customHeight="1" s="64">
      <c r="A5" s="2" t="inlineStr">
        <is>
          <t>SHAFT-FLW-001</t>
        </is>
      </c>
      <c r="B5" s="3" t="inlineStr">
        <is>
          <t>Pump Shaft</t>
        </is>
      </c>
      <c r="C5" s="2" t="n"/>
      <c r="D5" s="2" t="inlineStr">
        <is>
          <t>Shaft</t>
        </is>
      </c>
      <c r="E5" s="2" t="inlineStr">
        <is>
          <t>Rotating</t>
        </is>
      </c>
      <c r="F5" s="2" t="inlineStr">
        <is>
          <t>Flowserve 300-LNN-600</t>
        </is>
      </c>
      <c r="G5" s="2" t="inlineStr">
        <is>
          <t>Flowserve</t>
        </is>
      </c>
      <c r="H5" s="2" t="inlineStr">
        <is>
          <t>1</t>
        </is>
      </c>
      <c r="I5" s="2" t="inlineStr">
        <is>
          <t>EA</t>
        </is>
      </c>
      <c r="J5" s="3" t="inlineStr">
        <is>
          <t>EN-19 / SS410</t>
        </is>
      </c>
      <c r="K5" s="2" t="n"/>
      <c r="L5" s="2" t="n"/>
      <c r="M5" s="3" t="n"/>
    </row>
    <row r="6" ht="25.5" customHeight="1" s="64">
      <c r="A6" s="2" t="inlineStr">
        <is>
          <t>WRNG-FLW-001</t>
        </is>
      </c>
      <c r="B6" s="3" t="inlineStr">
        <is>
          <t>Casing Wear Ring</t>
        </is>
      </c>
      <c r="C6" s="2" t="n"/>
      <c r="D6" s="2" t="inlineStr">
        <is>
          <t>Wear Ring</t>
        </is>
      </c>
      <c r="E6" s="2" t="inlineStr">
        <is>
          <t>Pump Hydraulics</t>
        </is>
      </c>
      <c r="F6" s="2" t="inlineStr">
        <is>
          <t>Flowserve 300-LNN-600</t>
        </is>
      </c>
      <c r="G6" s="2" t="inlineStr">
        <is>
          <t>Flowserve</t>
        </is>
      </c>
      <c r="H6" s="2" t="inlineStr">
        <is>
          <t>1</t>
        </is>
      </c>
      <c r="I6" s="2" t="inlineStr">
        <is>
          <t>EA</t>
        </is>
      </c>
      <c r="J6" s="3" t="inlineStr">
        <is>
          <t>ASTM A487 Gr CA6M CI.B</t>
        </is>
      </c>
      <c r="K6" s="2" t="n"/>
      <c r="L6" s="2" t="n"/>
      <c r="M6" s="3" t="n"/>
    </row>
    <row r="7">
      <c r="A7" s="2" t="inlineStr">
        <is>
          <t>SHAFT-SLV-001</t>
        </is>
      </c>
      <c r="B7" s="3" t="inlineStr">
        <is>
          <t>Shaft Sleeve</t>
        </is>
      </c>
      <c r="C7" s="2" t="n"/>
      <c r="D7" s="2" t="inlineStr">
        <is>
          <t>Sleeve</t>
        </is>
      </c>
      <c r="E7" s="2" t="inlineStr">
        <is>
          <t>Rotating</t>
        </is>
      </c>
      <c r="F7" s="2" t="inlineStr">
        <is>
          <t>Flowserve 300-LNN-600</t>
        </is>
      </c>
      <c r="G7" s="2" t="inlineStr">
        <is>
          <t>Flowserve</t>
        </is>
      </c>
      <c r="H7" s="2" t="inlineStr">
        <is>
          <t>1</t>
        </is>
      </c>
      <c r="I7" s="2" t="inlineStr">
        <is>
          <t>EA</t>
        </is>
      </c>
      <c r="J7" s="3" t="inlineStr">
        <is>
          <t>ASTM A216 Type 420</t>
        </is>
      </c>
      <c r="K7" s="2" t="n"/>
      <c r="L7" s="2" t="n"/>
      <c r="M7" s="3" t="n"/>
    </row>
    <row r="8">
      <c r="A8" s="2" t="inlineStr">
        <is>
          <t>BRG-FLW-001</t>
        </is>
      </c>
      <c r="B8" s="3" t="inlineStr">
        <is>
          <t>Bearing DE</t>
        </is>
      </c>
      <c r="C8" s="2" t="inlineStr">
        <is>
          <t>6217 C3</t>
        </is>
      </c>
      <c r="D8" s="2" t="inlineStr">
        <is>
          <t>Bearing</t>
        </is>
      </c>
      <c r="E8" s="2" t="inlineStr">
        <is>
          <t>Radial Ball</t>
        </is>
      </c>
      <c r="F8" s="2" t="inlineStr">
        <is>
          <t>Flowserve 300-LNN-600</t>
        </is>
      </c>
      <c r="G8" s="2" t="inlineStr">
        <is>
          <t>SKF/FAG</t>
        </is>
      </c>
      <c r="H8" s="2" t="inlineStr">
        <is>
          <t>1</t>
        </is>
      </c>
      <c r="I8" s="2" t="inlineStr">
        <is>
          <t>EA</t>
        </is>
      </c>
      <c r="J8" s="3" t="inlineStr">
        <is>
          <t>Steel</t>
        </is>
      </c>
      <c r="K8" s="2" t="n"/>
      <c r="L8" s="2" t="n"/>
      <c r="M8" s="3" t="inlineStr">
        <is>
          <t>Oil lubricated ISO VG 32</t>
        </is>
      </c>
    </row>
    <row r="9">
      <c r="A9" s="2" t="inlineStr">
        <is>
          <t>BRG-FLW-002</t>
        </is>
      </c>
      <c r="B9" s="3" t="inlineStr">
        <is>
          <t>Bearing NDE</t>
        </is>
      </c>
      <c r="C9" s="2" t="inlineStr">
        <is>
          <t>7217</t>
        </is>
      </c>
      <c r="D9" s="2" t="inlineStr">
        <is>
          <t>Bearing</t>
        </is>
      </c>
      <c r="E9" s="2" t="inlineStr">
        <is>
          <t>Radial Ball</t>
        </is>
      </c>
      <c r="F9" s="2" t="inlineStr">
        <is>
          <t>Flowserve 300-LNN-600</t>
        </is>
      </c>
      <c r="G9" s="2" t="inlineStr">
        <is>
          <t>SKF/FAG</t>
        </is>
      </c>
      <c r="H9" s="2" t="inlineStr">
        <is>
          <t>1</t>
        </is>
      </c>
      <c r="I9" s="2" t="inlineStr">
        <is>
          <t>EA</t>
        </is>
      </c>
      <c r="J9" s="3" t="inlineStr">
        <is>
          <t>Steel</t>
        </is>
      </c>
      <c r="K9" s="2" t="n"/>
      <c r="L9" s="2" t="n"/>
      <c r="M9" s="3" t="inlineStr">
        <is>
          <t>Oil lubricated ISO VG 32</t>
        </is>
      </c>
    </row>
    <row r="10">
      <c r="A10" s="2" t="inlineStr">
        <is>
          <t>BRG-HSG-001</t>
        </is>
      </c>
      <c r="B10" s="3" t="inlineStr">
        <is>
          <t>Bearing Housing</t>
        </is>
      </c>
      <c r="C10" s="2" t="n"/>
      <c r="D10" s="2" t="inlineStr">
        <is>
          <t>Housing</t>
        </is>
      </c>
      <c r="E10" s="2" t="inlineStr">
        <is>
          <t>Bearing Support</t>
        </is>
      </c>
      <c r="F10" s="2" t="inlineStr">
        <is>
          <t>Flowserve 300-LNN-600</t>
        </is>
      </c>
      <c r="G10" s="2" t="inlineStr">
        <is>
          <t>Flowserve</t>
        </is>
      </c>
      <c r="H10" s="2" t="inlineStr">
        <is>
          <t>1</t>
        </is>
      </c>
      <c r="I10" s="2" t="inlineStr">
        <is>
          <t>EA</t>
        </is>
      </c>
      <c r="J10" s="3" t="inlineStr">
        <is>
          <t>ASTM A48 CI.30</t>
        </is>
      </c>
      <c r="K10" s="2" t="n"/>
      <c r="L10" s="2" t="n"/>
      <c r="M10" s="3" t="n"/>
    </row>
    <row r="11">
      <c r="A11" s="2" t="inlineStr">
        <is>
          <t>SEAL-FLW-001</t>
        </is>
      </c>
      <c r="B11" s="3" t="inlineStr">
        <is>
          <t>Mechanical Seal Single Cartridge</t>
        </is>
      </c>
      <c r="C11" s="2" t="n"/>
      <c r="D11" s="2" t="inlineStr">
        <is>
          <t>Seal</t>
        </is>
      </c>
      <c r="E11" s="2" t="inlineStr">
        <is>
          <t>Mechanical Seal</t>
        </is>
      </c>
      <c r="F11" s="2" t="inlineStr">
        <is>
          <t>Flowserve 300-LNN-600</t>
        </is>
      </c>
      <c r="G11" s="2" t="inlineStr">
        <is>
          <t>Flowserve Sanmar</t>
        </is>
      </c>
      <c r="H11" s="2" t="inlineStr">
        <is>
          <t>1</t>
        </is>
      </c>
      <c r="I11" s="2" t="inlineStr">
        <is>
          <t>EA</t>
        </is>
      </c>
      <c r="J11" s="3" t="inlineStr">
        <is>
          <t>As per seal drawing</t>
        </is>
      </c>
      <c r="K11" s="2" t="n"/>
      <c r="L11" s="2" t="n"/>
      <c r="M11" s="3" t="inlineStr">
        <is>
          <t>Plan 11, 62</t>
        </is>
      </c>
    </row>
    <row r="12" ht="25.5" customHeight="1" s="64">
      <c r="A12" s="2" t="inlineStr">
        <is>
          <t>MOT-CGL-550</t>
        </is>
      </c>
      <c r="B12" s="3" t="inlineStr">
        <is>
          <t>Motor 550kW 4-Pole VFD</t>
        </is>
      </c>
      <c r="C12" s="2" t="inlineStr">
        <is>
          <t>2241805</t>
        </is>
      </c>
      <c r="D12" s="2" t="inlineStr">
        <is>
          <t>Motor</t>
        </is>
      </c>
      <c r="E12" s="2" t="inlineStr">
        <is>
          <t>Induction Motor</t>
        </is>
      </c>
      <c r="F12" s="2" t="inlineStr">
        <is>
          <t>Flowserve 300-LNN-600</t>
        </is>
      </c>
      <c r="G12" s="2" t="inlineStr">
        <is>
          <t>CGL (Crompton Greaves)</t>
        </is>
      </c>
      <c r="H12" s="2" t="inlineStr">
        <is>
          <t>1</t>
        </is>
      </c>
      <c r="I12" s="2" t="inlineStr">
        <is>
          <t>EA</t>
        </is>
      </c>
      <c r="J12" s="3" t="inlineStr">
        <is>
          <t>Cast Iron Frame</t>
        </is>
      </c>
      <c r="K12" s="2" t="inlineStr">
        <is>
          <t>5300</t>
        </is>
      </c>
      <c r="L12" s="2" t="n"/>
      <c r="M12" s="3" t="inlineStr">
        <is>
          <t>Frame NG450, 690V, 50Hz, IC411, VFD driven 1143-1233 rpm</t>
        </is>
      </c>
    </row>
    <row r="13">
      <c r="A13" s="2" t="inlineStr">
        <is>
          <t>CPLG-RTH-001</t>
        </is>
      </c>
      <c r="B13" s="3" t="inlineStr">
        <is>
          <t>Coupling Spacer Tyre Type</t>
        </is>
      </c>
      <c r="C13" s="2" t="n"/>
      <c r="D13" s="2" t="inlineStr">
        <is>
          <t>Coupling</t>
        </is>
      </c>
      <c r="E13" s="2" t="inlineStr">
        <is>
          <t>Flexible Coupling</t>
        </is>
      </c>
      <c r="F13" s="2" t="inlineStr">
        <is>
          <t>Flowserve 300-LNN-600</t>
        </is>
      </c>
      <c r="G13" s="2" t="inlineStr">
        <is>
          <t>Rathi</t>
        </is>
      </c>
      <c r="H13" s="2" t="inlineStr">
        <is>
          <t>1</t>
        </is>
      </c>
      <c r="I13" s="2" t="inlineStr">
        <is>
          <t>EA</t>
        </is>
      </c>
      <c r="J13" s="3" t="inlineStr">
        <is>
          <t>Steel/Rubber</t>
        </is>
      </c>
      <c r="K13" s="2" t="inlineStr">
        <is>
          <t>50</t>
        </is>
      </c>
      <c r="L13" s="2" t="n"/>
      <c r="M13" s="3" t="inlineStr">
        <is>
          <t>DBSE 250mm, GD² = 11.6 kg·m²</t>
        </is>
      </c>
    </row>
    <row r="14">
      <c r="A14" s="2" t="inlineStr">
        <is>
          <t>BASE-FLW-001</t>
        </is>
      </c>
      <c r="B14" s="3" t="inlineStr">
        <is>
          <t>Baseplate Fabricated</t>
        </is>
      </c>
      <c r="C14" s="2" t="n"/>
      <c r="D14" s="2" t="inlineStr">
        <is>
          <t>Baseplate</t>
        </is>
      </c>
      <c r="E14" s="2" t="inlineStr">
        <is>
          <t>Structural</t>
        </is>
      </c>
      <c r="F14" s="2" t="inlineStr">
        <is>
          <t>Flowserve 300-LNN-600</t>
        </is>
      </c>
      <c r="G14" s="2" t="inlineStr">
        <is>
          <t>Flowserve</t>
        </is>
      </c>
      <c r="H14" s="2" t="inlineStr">
        <is>
          <t>1</t>
        </is>
      </c>
      <c r="I14" s="2" t="inlineStr">
        <is>
          <t>EA</t>
        </is>
      </c>
      <c r="J14" s="3" t="inlineStr">
        <is>
          <t>IS 2062</t>
        </is>
      </c>
      <c r="K14" s="2" t="inlineStr">
        <is>
          <t>3250</t>
        </is>
      </c>
      <c r="L14" s="2" t="n"/>
      <c r="M14" s="3" t="inlineStr">
        <is>
          <t>Drain pan type, grouted</t>
        </is>
      </c>
    </row>
    <row r="15">
      <c r="A15" s="2" t="inlineStr">
        <is>
          <t>ENCL-FLW-001</t>
        </is>
      </c>
      <c r="B15" s="3" t="inlineStr">
        <is>
          <t>Acoustic Enclosure</t>
        </is>
      </c>
      <c r="C15" s="2" t="n"/>
      <c r="D15" s="2" t="inlineStr">
        <is>
          <t>Enclosure</t>
        </is>
      </c>
      <c r="E15" s="2" t="inlineStr">
        <is>
          <t>Acoustic</t>
        </is>
      </c>
      <c r="F15" s="2" t="inlineStr">
        <is>
          <t>Flowserve 300-LNN-600</t>
        </is>
      </c>
      <c r="G15" s="2" t="inlineStr">
        <is>
          <t>ARK (Acoustic)</t>
        </is>
      </c>
      <c r="H15" s="2" t="inlineStr">
        <is>
          <t>1</t>
        </is>
      </c>
      <c r="I15" s="2" t="inlineStr">
        <is>
          <t>EA</t>
        </is>
      </c>
      <c r="J15" s="3" t="inlineStr">
        <is>
          <t>Modular Panels</t>
        </is>
      </c>
      <c r="K15" s="2" t="inlineStr">
        <is>
          <t>2350</t>
        </is>
      </c>
      <c r="L15" s="2" t="n"/>
      <c r="M15" s="3" t="inlineStr">
        <is>
          <t>Noise reduction to &lt;85 dBA</t>
        </is>
      </c>
    </row>
    <row r="16">
      <c r="A16" s="2" t="inlineStr">
        <is>
          <t>BOLT-FDN-001</t>
        </is>
      </c>
      <c r="B16" s="3" t="inlineStr">
        <is>
          <t>Foundation Bolt M20</t>
        </is>
      </c>
      <c r="C16" s="2" t="n"/>
      <c r="D16" s="2" t="inlineStr">
        <is>
          <t>Fastener</t>
        </is>
      </c>
      <c r="E16" s="2" t="inlineStr">
        <is>
          <t>Foundation Bolt</t>
        </is>
      </c>
      <c r="F16" s="2" t="inlineStr">
        <is>
          <t>Flowserve 300-LNN-600</t>
        </is>
      </c>
      <c r="G16" s="2" t="inlineStr">
        <is>
          <t>Local</t>
        </is>
      </c>
      <c r="H16" s="2" t="inlineStr">
        <is>
          <t>14</t>
        </is>
      </c>
      <c r="I16" s="2" t="inlineStr">
        <is>
          <t>EA</t>
        </is>
      </c>
      <c r="J16" s="3" t="inlineStr">
        <is>
          <t>ASTM A193 Gr.B7</t>
        </is>
      </c>
      <c r="K16" s="2" t="n"/>
      <c r="L16" s="2" t="n"/>
      <c r="M16" s="3" t="inlineStr">
        <is>
          <t>With nuts A194 2H</t>
        </is>
      </c>
    </row>
    <row r="17">
      <c r="A17" s="2" t="inlineStr">
        <is>
          <t>THERM-001</t>
        </is>
      </c>
      <c r="B17" s="3" t="inlineStr">
        <is>
          <t>Dial Type Thermometer</t>
        </is>
      </c>
      <c r="C17" s="2" t="n"/>
      <c r="D17" s="2" t="inlineStr">
        <is>
          <t>Instrumentation</t>
        </is>
      </c>
      <c r="E17" s="2" t="inlineStr">
        <is>
          <t>Temperature</t>
        </is>
      </c>
      <c r="F17" s="2" t="inlineStr">
        <is>
          <t>Flowserve 300-LNN-600</t>
        </is>
      </c>
      <c r="G17" s="2" t="inlineStr">
        <is>
          <t>Local</t>
        </is>
      </c>
      <c r="H17" s="2" t="inlineStr">
        <is>
          <t>2</t>
        </is>
      </c>
      <c r="I17" s="2" t="inlineStr">
        <is>
          <t>EA</t>
        </is>
      </c>
      <c r="J17" s="3" t="inlineStr">
        <is>
          <t>SS316</t>
        </is>
      </c>
      <c r="K17" s="2" t="n"/>
      <c r="L17" s="2" t="n"/>
      <c r="M17" s="3" t="inlineStr">
        <is>
          <t>Bearing temperature monitoring</t>
        </is>
      </c>
    </row>
    <row r="18" ht="25.5" customHeight="1" s="64">
      <c r="A18" s="2" t="inlineStr">
        <is>
          <t>PUMP-KSB-V5036</t>
        </is>
      </c>
      <c r="B18" s="3" t="inlineStr">
        <is>
          <t>Pump Assembly - KSB RPH-V 50-360</t>
        </is>
      </c>
      <c r="C18" s="2" t="inlineStr">
        <is>
          <t>9975830001-500/700/900</t>
        </is>
      </c>
      <c r="D18" s="2" t="inlineStr">
        <is>
          <t>Pump</t>
        </is>
      </c>
      <c r="E18" s="2" t="inlineStr">
        <is>
          <t>Centrifugal Vertical</t>
        </is>
      </c>
      <c r="F18" s="2" t="inlineStr">
        <is>
          <t>KSB RPH-V 50-360</t>
        </is>
      </c>
      <c r="G18" s="2" t="inlineStr">
        <is>
          <t>KSB</t>
        </is>
      </c>
      <c r="H18" s="2" t="inlineStr">
        <is>
          <t>1</t>
        </is>
      </c>
      <c r="I18" s="2" t="inlineStr">
        <is>
          <t>EA</t>
        </is>
      </c>
      <c r="J18" s="3" t="inlineStr">
        <is>
          <t>Various (See Components)</t>
        </is>
      </c>
      <c r="K18" s="2" t="inlineStr">
        <is>
          <t>410</t>
        </is>
      </c>
      <c r="L18" s="2" t="n"/>
      <c r="M18" s="3" t="inlineStr">
        <is>
          <t>Vertical submersible, API 610 12th Ed., 3 units for IOCL</t>
        </is>
      </c>
    </row>
    <row r="19">
      <c r="A19" s="2" t="inlineStr">
        <is>
          <t>CAS-KSB-001</t>
        </is>
      </c>
      <c r="B19" s="3" t="inlineStr">
        <is>
          <t>Volute Casing RPH-V 50-360 CL300</t>
        </is>
      </c>
      <c r="C19" s="2" t="inlineStr">
        <is>
          <t>5557702</t>
        </is>
      </c>
      <c r="D19" s="2" t="inlineStr">
        <is>
          <t>Casing</t>
        </is>
      </c>
      <c r="E19" s="2" t="inlineStr">
        <is>
          <t>Pump Hydraulics</t>
        </is>
      </c>
      <c r="F19" s="2" t="inlineStr">
        <is>
          <t>KSB RPH-V 50-360</t>
        </is>
      </c>
      <c r="G19" s="2" t="inlineStr">
        <is>
          <t>Jsons Foundry</t>
        </is>
      </c>
      <c r="H19" s="2" t="inlineStr">
        <is>
          <t>1</t>
        </is>
      </c>
      <c r="I19" s="2" t="inlineStr">
        <is>
          <t>EA</t>
        </is>
      </c>
      <c r="J19" s="3" t="inlineStr">
        <is>
          <t>Cast Iron/CS UG2477594</t>
        </is>
      </c>
      <c r="K19" s="2" t="n"/>
      <c r="L19" s="2" t="inlineStr">
        <is>
          <t>21</t>
        </is>
      </c>
      <c r="M19" s="3" t="inlineStr">
        <is>
          <t>Main casing for vertical pump</t>
        </is>
      </c>
    </row>
    <row r="20">
      <c r="A20" s="2" t="inlineStr">
        <is>
          <t>IMP-KSB-001</t>
        </is>
      </c>
      <c r="B20" s="3" t="inlineStr">
        <is>
          <t>Impeller RPH-V 50-360</t>
        </is>
      </c>
      <c r="C20" s="2" t="inlineStr">
        <is>
          <t>5557704</t>
        </is>
      </c>
      <c r="D20" s="2" t="inlineStr">
        <is>
          <t>Impeller</t>
        </is>
      </c>
      <c r="E20" s="2" t="inlineStr">
        <is>
          <t>Pump Hydraulics</t>
        </is>
      </c>
      <c r="F20" s="2" t="inlineStr">
        <is>
          <t>KSB RPH-V 50-360</t>
        </is>
      </c>
      <c r="G20" s="2" t="inlineStr">
        <is>
          <t>Jsons Foundry</t>
        </is>
      </c>
      <c r="H20" s="2" t="inlineStr">
        <is>
          <t>1</t>
        </is>
      </c>
      <c r="I20" s="2" t="inlineStr">
        <is>
          <t>EA</t>
        </is>
      </c>
      <c r="J20" s="3" t="inlineStr">
        <is>
          <t>CF8M (SS316) Z05236300</t>
        </is>
      </c>
      <c r="K20" s="2" t="n"/>
      <c r="L20" s="2" t="inlineStr">
        <is>
          <t>21</t>
        </is>
      </c>
      <c r="M20" s="3" t="inlineStr">
        <is>
          <t>Hydraulic impeller</t>
        </is>
      </c>
    </row>
    <row r="21">
      <c r="A21" s="2" t="inlineStr">
        <is>
          <t>CAS-CVR-001</t>
        </is>
      </c>
      <c r="B21" s="3" t="inlineStr">
        <is>
          <t>Casing Cover RPH-V 50-360</t>
        </is>
      </c>
      <c r="C21" s="2" t="inlineStr">
        <is>
          <t>5557703</t>
        </is>
      </c>
      <c r="D21" s="2" t="inlineStr">
        <is>
          <t>Casing</t>
        </is>
      </c>
      <c r="E21" s="2" t="inlineStr">
        <is>
          <t>Cover</t>
        </is>
      </c>
      <c r="F21" s="2" t="inlineStr">
        <is>
          <t>KSB RPH-V 50-360</t>
        </is>
      </c>
      <c r="G21" s="2" t="inlineStr">
        <is>
          <t>Stock</t>
        </is>
      </c>
      <c r="H21" s="2" t="inlineStr">
        <is>
          <t>1</t>
        </is>
      </c>
      <c r="I21" s="2" t="inlineStr">
        <is>
          <t>EA</t>
        </is>
      </c>
      <c r="J21" s="3" t="inlineStr">
        <is>
          <t>CL300 RF Z0</t>
        </is>
      </c>
      <c r="K21" s="2" t="n"/>
      <c r="L21" s="2" t="inlineStr">
        <is>
          <t>0</t>
        </is>
      </c>
      <c r="M21" s="3" t="inlineStr">
        <is>
          <t>Casing cover</t>
        </is>
      </c>
    </row>
    <row r="22">
      <c r="A22" s="2" t="inlineStr">
        <is>
          <t>BRG-HSG-KSB</t>
        </is>
      </c>
      <c r="B22" s="3" t="inlineStr">
        <is>
          <t>Bearing Housing RPH-V</t>
        </is>
      </c>
      <c r="C22" s="2" t="inlineStr">
        <is>
          <t>5551361</t>
        </is>
      </c>
      <c r="D22" s="2" t="inlineStr">
        <is>
          <t>Housing</t>
        </is>
      </c>
      <c r="E22" s="2" t="inlineStr">
        <is>
          <t>Bearing Support</t>
        </is>
      </c>
      <c r="F22" s="2" t="inlineStr">
        <is>
          <t>KSB RPH-V 50-360</t>
        </is>
      </c>
      <c r="G22" s="2" t="inlineStr">
        <is>
          <t>Jsons Foundry</t>
        </is>
      </c>
      <c r="H22" s="2" t="inlineStr">
        <is>
          <t>1</t>
        </is>
      </c>
      <c r="I22" s="2" t="inlineStr">
        <is>
          <t>EA</t>
        </is>
      </c>
      <c r="J22" s="3" t="inlineStr">
        <is>
          <t>Cast</t>
        </is>
      </c>
      <c r="K22" s="2" t="n"/>
      <c r="L22" s="2" t="inlineStr">
        <is>
          <t>105</t>
        </is>
      </c>
      <c r="M22" s="3" t="inlineStr">
        <is>
          <t>Bearing housing</t>
        </is>
      </c>
    </row>
    <row r="23">
      <c r="A23" s="2" t="inlineStr">
        <is>
          <t>BRG-CVR-KSB</t>
        </is>
      </c>
      <c r="B23" s="3" t="inlineStr">
        <is>
          <t>Bearing Cover RPH-V</t>
        </is>
      </c>
      <c r="C23" s="2" t="inlineStr">
        <is>
          <t>5557705</t>
        </is>
      </c>
      <c r="D23" s="2" t="inlineStr">
        <is>
          <t>Cover</t>
        </is>
      </c>
      <c r="E23" s="2" t="inlineStr">
        <is>
          <t>Bearing</t>
        </is>
      </c>
      <c r="F23" s="2" t="inlineStr">
        <is>
          <t>KSB RPH-V 50-360</t>
        </is>
      </c>
      <c r="G23" s="2" t="inlineStr">
        <is>
          <t>Stock</t>
        </is>
      </c>
      <c r="H23" s="2" t="inlineStr">
        <is>
          <t>1</t>
        </is>
      </c>
      <c r="I23" s="2" t="inlineStr">
        <is>
          <t>EA</t>
        </is>
      </c>
      <c r="J23" s="3" t="inlineStr">
        <is>
          <t>UG15278600000</t>
        </is>
      </c>
      <c r="K23" s="2" t="n"/>
      <c r="L23" s="2" t="inlineStr">
        <is>
          <t>0</t>
        </is>
      </c>
      <c r="M23" s="3" t="n"/>
    </row>
    <row r="24">
      <c r="A24" s="2" t="inlineStr">
        <is>
          <t>OIL-KSB-001</t>
        </is>
      </c>
      <c r="B24" s="3" t="inlineStr">
        <is>
          <t>Constant Level Oiler NPT1/4</t>
        </is>
      </c>
      <c r="C24" s="2" t="inlineStr">
        <is>
          <t>IN010767</t>
        </is>
      </c>
      <c r="D24" s="2" t="inlineStr">
        <is>
          <t>Lubrication</t>
        </is>
      </c>
      <c r="E24" s="2" t="inlineStr">
        <is>
          <t>Oiler</t>
        </is>
      </c>
      <c r="F24" s="2" t="inlineStr">
        <is>
          <t>KSB RPH-V 50-360</t>
        </is>
      </c>
      <c r="G24" s="2" t="inlineStr">
        <is>
          <t>Stock</t>
        </is>
      </c>
      <c r="H24" s="2" t="inlineStr">
        <is>
          <t>1</t>
        </is>
      </c>
      <c r="I24" s="2" t="inlineStr">
        <is>
          <t>EA</t>
        </is>
      </c>
      <c r="J24" s="3" t="inlineStr">
        <is>
          <t>Steel/Glass</t>
        </is>
      </c>
      <c r="K24" s="2" t="n"/>
      <c r="L24" s="2" t="inlineStr">
        <is>
          <t>0</t>
        </is>
      </c>
      <c r="M24" s="3" t="n"/>
    </row>
    <row r="25">
      <c r="A25" s="2" t="inlineStr">
        <is>
          <t>BRK-KSB-001</t>
        </is>
      </c>
      <c r="B25" s="3" t="inlineStr">
        <is>
          <t>Bearing Bracket LANT RPH-V</t>
        </is>
      </c>
      <c r="C25" s="2" t="inlineStr">
        <is>
          <t>5276186</t>
        </is>
      </c>
      <c r="D25" s="2" t="inlineStr">
        <is>
          <t>Bracket</t>
        </is>
      </c>
      <c r="E25" s="2" t="inlineStr">
        <is>
          <t>Support</t>
        </is>
      </c>
      <c r="F25" s="2" t="inlineStr">
        <is>
          <t>KSB RPH-V 50-360</t>
        </is>
      </c>
      <c r="G25" s="2" t="inlineStr">
        <is>
          <t>Swaraj Engineering</t>
        </is>
      </c>
      <c r="H25" s="2" t="inlineStr">
        <is>
          <t>1</t>
        </is>
      </c>
      <c r="I25" s="2" t="inlineStr">
        <is>
          <t>EA</t>
        </is>
      </c>
      <c r="J25" s="3" t="inlineStr">
        <is>
          <t>MS</t>
        </is>
      </c>
      <c r="K25" s="2" t="n"/>
      <c r="L25" s="2" t="inlineStr">
        <is>
          <t>28</t>
        </is>
      </c>
      <c r="M25" s="3" t="n"/>
    </row>
    <row r="26">
      <c r="A26" s="2" t="inlineStr">
        <is>
          <t>ROD-KSB-001</t>
        </is>
      </c>
      <c r="B26" s="3" t="inlineStr">
        <is>
          <t>Rod 65DIA</t>
        </is>
      </c>
      <c r="C26" s="2" t="inlineStr">
        <is>
          <t>5454414</t>
        </is>
      </c>
      <c r="D26" s="2" t="inlineStr">
        <is>
          <t>Shaft</t>
        </is>
      </c>
      <c r="E26" s="2" t="inlineStr">
        <is>
          <t>Rod</t>
        </is>
      </c>
      <c r="F26" s="2" t="inlineStr">
        <is>
          <t>KSB RPH-V 50-360</t>
        </is>
      </c>
      <c r="G26" s="2" t="inlineStr">
        <is>
          <t>Stock</t>
        </is>
      </c>
      <c r="H26" s="2" t="inlineStr">
        <is>
          <t>1</t>
        </is>
      </c>
      <c r="I26" s="2" t="inlineStr">
        <is>
          <t>EA</t>
        </is>
      </c>
      <c r="J26" s="3" t="inlineStr">
        <is>
          <t>Steel</t>
        </is>
      </c>
      <c r="K26" s="2" t="n"/>
      <c r="L26" s="2" t="inlineStr">
        <is>
          <t>0</t>
        </is>
      </c>
      <c r="M26" s="3" t="n"/>
    </row>
    <row r="27">
      <c r="A27" s="2" t="inlineStr">
        <is>
          <t>MOT-LXM-45</t>
        </is>
      </c>
      <c r="B27" s="3" t="inlineStr">
        <is>
          <t>Motor 45kW Frame 225M</t>
        </is>
      </c>
      <c r="C27" s="2" t="inlineStr">
        <is>
          <t>5548523</t>
        </is>
      </c>
      <c r="D27" s="2" t="inlineStr">
        <is>
          <t>Motor</t>
        </is>
      </c>
      <c r="E27" s="2" t="inlineStr">
        <is>
          <t>Induction Motor</t>
        </is>
      </c>
      <c r="F27" s="2" t="inlineStr">
        <is>
          <t>KSB RPH-V 50-360</t>
        </is>
      </c>
      <c r="G27" s="2" t="inlineStr">
        <is>
          <t>Laxmi Hydraulics</t>
        </is>
      </c>
      <c r="H27" s="2" t="inlineStr">
        <is>
          <t>1</t>
        </is>
      </c>
      <c r="I27" s="2" t="inlineStr">
        <is>
          <t>EA</t>
        </is>
      </c>
      <c r="J27" s="3" t="inlineStr">
        <is>
          <t>Cast Iron</t>
        </is>
      </c>
      <c r="K27" s="2" t="inlineStr">
        <is>
          <t>~750</t>
        </is>
      </c>
      <c r="L27" s="2" t="inlineStr">
        <is>
          <t>0</t>
        </is>
      </c>
      <c r="M27" s="3" t="inlineStr">
        <is>
          <t>IE3 TEFC, 3 units required</t>
        </is>
      </c>
    </row>
    <row r="28">
      <c r="A28" s="2" t="inlineStr">
        <is>
          <t>MOT-PRT-001</t>
        </is>
      </c>
      <c r="B28" s="3" t="inlineStr">
        <is>
          <t>Motor Parts for 9975830001-500</t>
        </is>
      </c>
      <c r="C28" s="2" t="inlineStr">
        <is>
          <t>5560014</t>
        </is>
      </c>
      <c r="D28" s="2" t="inlineStr">
        <is>
          <t>Motor</t>
        </is>
      </c>
      <c r="E28" s="2" t="inlineStr">
        <is>
          <t>Accessories</t>
        </is>
      </c>
      <c r="F28" s="2" t="inlineStr">
        <is>
          <t>KSB RPH-V 50-360</t>
        </is>
      </c>
      <c r="G28" s="2" t="inlineStr">
        <is>
          <t>Laxmi Hydraulics</t>
        </is>
      </c>
      <c r="H28" s="2" t="inlineStr">
        <is>
          <t>1</t>
        </is>
      </c>
      <c r="I28" s="2" t="inlineStr">
        <is>
          <t>LOT</t>
        </is>
      </c>
      <c r="J28" s="3" t="inlineStr">
        <is>
          <t>Various</t>
        </is>
      </c>
      <c r="K28" s="2" t="n"/>
      <c r="L28" s="2" t="inlineStr">
        <is>
          <t>0</t>
        </is>
      </c>
      <c r="M28" s="3" t="inlineStr">
        <is>
          <t>Motor accessories</t>
        </is>
      </c>
    </row>
    <row r="29">
      <c r="A29" s="2" t="inlineStr">
        <is>
          <t>CPLG-KSB-001</t>
        </is>
      </c>
      <c r="B29" s="3" t="inlineStr">
        <is>
          <t>Coupling for 9975830001-500/700/900</t>
        </is>
      </c>
      <c r="C29" s="2" t="inlineStr">
        <is>
          <t>5550100</t>
        </is>
      </c>
      <c r="D29" s="2" t="inlineStr">
        <is>
          <t>Coupling</t>
        </is>
      </c>
      <c r="E29" s="2" t="inlineStr">
        <is>
          <t>Flexible</t>
        </is>
      </c>
      <c r="F29" s="2" t="inlineStr">
        <is>
          <t>KSB RPH-V 50-360</t>
        </is>
      </c>
      <c r="G29" s="2" t="inlineStr">
        <is>
          <t>Unique Transmission</t>
        </is>
      </c>
      <c r="H29" s="2" t="inlineStr">
        <is>
          <t>1</t>
        </is>
      </c>
      <c r="I29" s="2" t="inlineStr">
        <is>
          <t>EA</t>
        </is>
      </c>
      <c r="J29" s="3" t="inlineStr">
        <is>
          <t>Steel</t>
        </is>
      </c>
      <c r="K29" s="2" t="n"/>
      <c r="L29" s="2" t="inlineStr">
        <is>
          <t>45</t>
        </is>
      </c>
      <c r="M29" s="3" t="inlineStr">
        <is>
          <t>Standard coupling, 3 units</t>
        </is>
      </c>
    </row>
    <row r="30">
      <c r="A30" s="2" t="inlineStr">
        <is>
          <t>SEAL-JC-001</t>
        </is>
      </c>
      <c r="B30" s="3" t="inlineStr">
        <is>
          <t>Mechanical Seal JC-48SC Single Cartridge</t>
        </is>
      </c>
      <c r="C30" s="2" t="inlineStr">
        <is>
          <t>5552319</t>
        </is>
      </c>
      <c r="D30" s="2" t="inlineStr">
        <is>
          <t>Seal</t>
        </is>
      </c>
      <c r="E30" s="2" t="inlineStr">
        <is>
          <t>Mechanical Seal</t>
        </is>
      </c>
      <c r="F30" s="2" t="inlineStr">
        <is>
          <t>KSB RPH-V 50-360</t>
        </is>
      </c>
      <c r="G30" s="2" t="inlineStr">
        <is>
          <t>John Crane</t>
        </is>
      </c>
      <c r="H30" s="2" t="inlineStr">
        <is>
          <t>1</t>
        </is>
      </c>
      <c r="I30" s="2" t="inlineStr">
        <is>
          <t>EA</t>
        </is>
      </c>
      <c r="J30" s="3" t="inlineStr">
        <is>
          <t>SiC/SiC/Viton</t>
        </is>
      </c>
      <c r="K30" s="2" t="n"/>
      <c r="L30" s="2" t="inlineStr">
        <is>
          <t>38</t>
        </is>
      </c>
      <c r="M30" s="3" t="inlineStr">
        <is>
          <t>Single cartridge seal, 9 units total</t>
        </is>
      </c>
    </row>
    <row r="31">
      <c r="A31" s="2" t="inlineStr">
        <is>
          <t>BASE-KSB-001</t>
        </is>
      </c>
      <c r="B31" s="3" t="inlineStr">
        <is>
          <t>Soleplate RPH-V 50-360 CIRC</t>
        </is>
      </c>
      <c r="C31" s="2" t="inlineStr">
        <is>
          <t>5576296</t>
        </is>
      </c>
      <c r="D31" s="2" t="inlineStr">
        <is>
          <t>Baseplate</t>
        </is>
      </c>
      <c r="E31" s="2" t="inlineStr">
        <is>
          <t>Mounting</t>
        </is>
      </c>
      <c r="F31" s="2" t="inlineStr">
        <is>
          <t>KSB RPH-V 50-360</t>
        </is>
      </c>
      <c r="G31" s="2" t="inlineStr">
        <is>
          <t>J.J. Engineers</t>
        </is>
      </c>
      <c r="H31" s="2" t="inlineStr">
        <is>
          <t>1</t>
        </is>
      </c>
      <c r="I31" s="2" t="inlineStr">
        <is>
          <t>EA</t>
        </is>
      </c>
      <c r="J31" s="3" t="inlineStr">
        <is>
          <t>Fabricated MS</t>
        </is>
      </c>
      <c r="K31" s="2" t="n"/>
      <c r="L31" s="2" t="inlineStr">
        <is>
          <t>50</t>
        </is>
      </c>
      <c r="M31" s="3" t="inlineStr">
        <is>
          <t>Mounting plate, 3 units</t>
        </is>
      </c>
    </row>
    <row r="32" ht="25.5" customHeight="1" s="64">
      <c r="A32" s="2" t="inlineStr">
        <is>
          <t>GUARD-KSB-001</t>
        </is>
      </c>
      <c r="B32" s="3" t="inlineStr">
        <is>
          <t>Coupling Guard 320X450 BWG15</t>
        </is>
      </c>
      <c r="C32" s="2" t="inlineStr">
        <is>
          <t>5541895</t>
        </is>
      </c>
      <c r="D32" s="2" t="inlineStr">
        <is>
          <t>Guard</t>
        </is>
      </c>
      <c r="E32" s="2" t="inlineStr">
        <is>
          <t>Safety</t>
        </is>
      </c>
      <c r="F32" s="2" t="inlineStr">
        <is>
          <t>KSB RPH-V 50-360</t>
        </is>
      </c>
      <c r="G32" s="2" t="inlineStr">
        <is>
          <t>Sai Technofab</t>
        </is>
      </c>
      <c r="H32" s="2" t="inlineStr">
        <is>
          <t>1</t>
        </is>
      </c>
      <c r="I32" s="2" t="inlineStr">
        <is>
          <t>EA</t>
        </is>
      </c>
      <c r="J32" s="3" t="inlineStr">
        <is>
          <t>SS304/MS</t>
        </is>
      </c>
      <c r="K32" s="2" t="n"/>
      <c r="L32" s="2" t="inlineStr">
        <is>
          <t>30</t>
        </is>
      </c>
      <c r="M32" s="3" t="inlineStr">
        <is>
          <t>Safety guard, 3 units</t>
        </is>
      </c>
    </row>
    <row r="33">
      <c r="A33" s="2" t="inlineStr">
        <is>
          <t>PIPE-SUSP-001</t>
        </is>
      </c>
      <c r="B33" s="3" t="inlineStr">
        <is>
          <t>Delivery Suspension Pipe DN100-1100</t>
        </is>
      </c>
      <c r="C33" s="2" t="inlineStr">
        <is>
          <t>5571613-14-15</t>
        </is>
      </c>
      <c r="D33" s="2" t="inlineStr">
        <is>
          <t>Piping</t>
        </is>
      </c>
      <c r="E33" s="2" t="inlineStr">
        <is>
          <t>Column</t>
        </is>
      </c>
      <c r="F33" s="2" t="inlineStr">
        <is>
          <t>KSB RPH-V 50-360</t>
        </is>
      </c>
      <c r="G33" s="2" t="inlineStr">
        <is>
          <t>Swaraj Engineering</t>
        </is>
      </c>
      <c r="H33" s="2" t="inlineStr">
        <is>
          <t>1</t>
        </is>
      </c>
      <c r="I33" s="2" t="inlineStr">
        <is>
          <t>EA</t>
        </is>
      </c>
      <c r="J33" s="3" t="inlineStr">
        <is>
          <t>CS</t>
        </is>
      </c>
      <c r="K33" s="2" t="n"/>
      <c r="L33" s="2" t="inlineStr">
        <is>
          <t>21</t>
        </is>
      </c>
      <c r="M33" s="3" t="inlineStr">
        <is>
          <t>9 units - delivery suspension</t>
        </is>
      </c>
    </row>
    <row r="34">
      <c r="A34" s="2" t="inlineStr">
        <is>
          <t>PIPE-COL-001</t>
        </is>
      </c>
      <c r="B34" s="3" t="inlineStr">
        <is>
          <t>Column Pipe DN40-80-CIR-2473X6</t>
        </is>
      </c>
      <c r="C34" s="2" t="inlineStr">
        <is>
          <t>5571618</t>
        </is>
      </c>
      <c r="D34" s="2" t="inlineStr">
        <is>
          <t>Piping</t>
        </is>
      </c>
      <c r="E34" s="2" t="inlineStr">
        <is>
          <t>Column</t>
        </is>
      </c>
      <c r="F34" s="2" t="inlineStr">
        <is>
          <t>KSB RPH-V 50-360</t>
        </is>
      </c>
      <c r="G34" s="2" t="inlineStr">
        <is>
          <t>Swaraj Engineering</t>
        </is>
      </c>
      <c r="H34" s="2" t="inlineStr">
        <is>
          <t>1</t>
        </is>
      </c>
      <c r="I34" s="2" t="inlineStr">
        <is>
          <t>EA</t>
        </is>
      </c>
      <c r="J34" s="3" t="inlineStr">
        <is>
          <t>CS</t>
        </is>
      </c>
      <c r="K34" s="2" t="n"/>
      <c r="L34" s="2" t="inlineStr">
        <is>
          <t>28</t>
        </is>
      </c>
      <c r="M34" s="3" t="inlineStr">
        <is>
          <t>9 units - column pipe</t>
        </is>
      </c>
    </row>
    <row r="35">
      <c r="A35" s="2" t="inlineStr">
        <is>
          <t>STR-DN50-001</t>
        </is>
      </c>
      <c r="B35" s="3" t="inlineStr">
        <is>
          <t>Strainer DN50X160X220 CL300</t>
        </is>
      </c>
      <c r="C35" s="2" t="inlineStr">
        <is>
          <t>5508101</t>
        </is>
      </c>
      <c r="D35" s="2" t="inlineStr">
        <is>
          <t>Strainer</t>
        </is>
      </c>
      <c r="E35" s="2" t="inlineStr">
        <is>
          <t>Suction</t>
        </is>
      </c>
      <c r="F35" s="2" t="inlineStr">
        <is>
          <t>KSB RPH-V 50-360</t>
        </is>
      </c>
      <c r="G35" s="2" t="inlineStr">
        <is>
          <t>Jay-Eesh Engineering</t>
        </is>
      </c>
      <c r="H35" s="2" t="inlineStr">
        <is>
          <t>1</t>
        </is>
      </c>
      <c r="I35" s="2" t="inlineStr">
        <is>
          <t>EA</t>
        </is>
      </c>
      <c r="J35" s="3" t="inlineStr">
        <is>
          <t>CS</t>
        </is>
      </c>
      <c r="K35" s="2" t="n"/>
      <c r="L35" s="2" t="inlineStr">
        <is>
          <t>35</t>
        </is>
      </c>
      <c r="M35" s="3" t="n"/>
    </row>
    <row r="36" ht="25.5" customHeight="1" s="64">
      <c r="A36" s="2" t="inlineStr">
        <is>
          <t>STOOL-KSB-001</t>
        </is>
      </c>
      <c r="B36" s="3" t="inlineStr">
        <is>
          <t>Motor Stool RPH-V FR 225M</t>
        </is>
      </c>
      <c r="C36" s="2" t="inlineStr">
        <is>
          <t>05582384</t>
        </is>
      </c>
      <c r="D36" s="2" t="inlineStr">
        <is>
          <t>Stool</t>
        </is>
      </c>
      <c r="E36" s="2" t="inlineStr">
        <is>
          <t>Support</t>
        </is>
      </c>
      <c r="F36" s="2" t="inlineStr">
        <is>
          <t>KSB RPH-V 50-360</t>
        </is>
      </c>
      <c r="G36" s="2" t="inlineStr">
        <is>
          <t>Swaraj Engineering</t>
        </is>
      </c>
      <c r="H36" s="2" t="inlineStr">
        <is>
          <t>1</t>
        </is>
      </c>
      <c r="I36" s="2" t="inlineStr">
        <is>
          <t>EA</t>
        </is>
      </c>
      <c r="J36" s="3" t="inlineStr">
        <is>
          <t>Fabricated MS</t>
        </is>
      </c>
      <c r="K36" s="2" t="inlineStr">
        <is>
          <t>~56</t>
        </is>
      </c>
      <c r="L36" s="2" t="inlineStr">
        <is>
          <t>38</t>
        </is>
      </c>
      <c r="M36" s="3" t="inlineStr">
        <is>
          <t>3 units - motor support</t>
        </is>
      </c>
    </row>
    <row r="37" ht="25.5" customHeight="1" s="64">
      <c r="A37" s="2" t="inlineStr">
        <is>
          <t>PUMP-KSB-V4018</t>
        </is>
      </c>
      <c r="B37" s="3" t="inlineStr">
        <is>
          <t>Pump Assembly - KSB RPH-V 40-180</t>
        </is>
      </c>
      <c r="C37" s="2" t="inlineStr">
        <is>
          <t>9975830001-1100</t>
        </is>
      </c>
      <c r="D37" s="2" t="inlineStr">
        <is>
          <t>Pump</t>
        </is>
      </c>
      <c r="E37" s="2" t="inlineStr">
        <is>
          <t>Centrifugal Vertical</t>
        </is>
      </c>
      <c r="F37" s="2" t="inlineStr">
        <is>
          <t>KSB RPH-V 40-180</t>
        </is>
      </c>
      <c r="G37" s="2" t="inlineStr">
        <is>
          <t>KSB</t>
        </is>
      </c>
      <c r="H37" s="2" t="inlineStr">
        <is>
          <t>1</t>
        </is>
      </c>
      <c r="I37" s="2" t="inlineStr">
        <is>
          <t>EA</t>
        </is>
      </c>
      <c r="J37" s="3" t="inlineStr">
        <is>
          <t>Various</t>
        </is>
      </c>
      <c r="K37" s="2" t="inlineStr">
        <is>
          <t>~350</t>
        </is>
      </c>
      <c r="L37" s="2" t="n"/>
      <c r="M37" s="3" t="inlineStr">
        <is>
          <t>Vertical submersible, 1 unit for IOCL</t>
        </is>
      </c>
    </row>
    <row r="38">
      <c r="A38" s="2" t="inlineStr">
        <is>
          <t>CAS-KSB-002</t>
        </is>
      </c>
      <c r="B38" s="3" t="inlineStr">
        <is>
          <t>Volute Casing RPH-V 40-180 CL300</t>
        </is>
      </c>
      <c r="C38" s="2" t="inlineStr">
        <is>
          <t>5550408</t>
        </is>
      </c>
      <c r="D38" s="2" t="inlineStr">
        <is>
          <t>Casing</t>
        </is>
      </c>
      <c r="E38" s="2" t="inlineStr">
        <is>
          <t>Pump Hydraulics</t>
        </is>
      </c>
      <c r="F38" s="2" t="inlineStr">
        <is>
          <t>KSB RPH-V 40-180</t>
        </is>
      </c>
      <c r="G38" s="2" t="inlineStr">
        <is>
          <t>Stock</t>
        </is>
      </c>
      <c r="H38" s="2" t="inlineStr">
        <is>
          <t>1</t>
        </is>
      </c>
      <c r="I38" s="2" t="inlineStr">
        <is>
          <t>EA</t>
        </is>
      </c>
      <c r="J38" s="3" t="inlineStr">
        <is>
          <t>UG1700</t>
        </is>
      </c>
      <c r="K38" s="2" t="n"/>
      <c r="L38" s="2" t="inlineStr">
        <is>
          <t>0</t>
        </is>
      </c>
      <c r="M38" s="3" t="n"/>
    </row>
    <row r="39">
      <c r="A39" s="2" t="inlineStr">
        <is>
          <t>IMP-KSB-002</t>
        </is>
      </c>
      <c r="B39" s="3" t="inlineStr">
        <is>
          <t>Impeller RPH 40-180</t>
        </is>
      </c>
      <c r="C39" s="2" t="inlineStr">
        <is>
          <t>5550412</t>
        </is>
      </c>
      <c r="D39" s="2" t="inlineStr">
        <is>
          <t>Impeller</t>
        </is>
      </c>
      <c r="E39" s="2" t="inlineStr">
        <is>
          <t>Pump Hydraulics</t>
        </is>
      </c>
      <c r="F39" s="2" t="inlineStr">
        <is>
          <t>KSB RPH-V 40-180</t>
        </is>
      </c>
      <c r="G39" s="2" t="inlineStr">
        <is>
          <t>KSB Pumps Foundries</t>
        </is>
      </c>
      <c r="H39" s="2" t="inlineStr">
        <is>
          <t>1</t>
        </is>
      </c>
      <c r="I39" s="2" t="inlineStr">
        <is>
          <t>EA</t>
        </is>
      </c>
      <c r="J39" s="3" t="inlineStr">
        <is>
          <t>Z052379</t>
        </is>
      </c>
      <c r="K39" s="2" t="n"/>
      <c r="L39" s="2" t="inlineStr">
        <is>
          <t>21</t>
        </is>
      </c>
      <c r="M39" s="3" t="n"/>
    </row>
    <row r="40">
      <c r="A40" s="2" t="inlineStr">
        <is>
          <t>CAS-CVR-002</t>
        </is>
      </c>
      <c r="B40" s="3" t="inlineStr">
        <is>
          <t>Casing Cover RPH-V 40-180</t>
        </is>
      </c>
      <c r="C40" s="2" t="inlineStr">
        <is>
          <t>5550414</t>
        </is>
      </c>
      <c r="D40" s="2" t="inlineStr">
        <is>
          <t>Casing</t>
        </is>
      </c>
      <c r="E40" s="2" t="inlineStr">
        <is>
          <t>Cover</t>
        </is>
      </c>
      <c r="F40" s="2" t="inlineStr">
        <is>
          <t>KSB RPH-V 40-180</t>
        </is>
      </c>
      <c r="G40" s="2" t="inlineStr">
        <is>
          <t>Stock</t>
        </is>
      </c>
      <c r="H40" s="2" t="inlineStr">
        <is>
          <t>1</t>
        </is>
      </c>
      <c r="I40" s="2" t="inlineStr">
        <is>
          <t>EA</t>
        </is>
      </c>
      <c r="J40" s="3" t="inlineStr">
        <is>
          <t>Z042521-01</t>
        </is>
      </c>
      <c r="K40" s="2" t="n"/>
      <c r="L40" s="2" t="inlineStr">
        <is>
          <t>0</t>
        </is>
      </c>
      <c r="M40" s="3" t="n"/>
    </row>
    <row r="41">
      <c r="A41" s="2" t="inlineStr">
        <is>
          <t>MOT-LXM-5.5</t>
        </is>
      </c>
      <c r="B41" s="3" t="inlineStr">
        <is>
          <t>Motor 5.5kW Frame 132S</t>
        </is>
      </c>
      <c r="C41" s="2" t="inlineStr">
        <is>
          <t>05548522</t>
        </is>
      </c>
      <c r="D41" s="2" t="inlineStr">
        <is>
          <t>Motor</t>
        </is>
      </c>
      <c r="E41" s="2" t="inlineStr">
        <is>
          <t>Induction Motor</t>
        </is>
      </c>
      <c r="F41" s="2" t="inlineStr">
        <is>
          <t>KSB RPH-V 40-180</t>
        </is>
      </c>
      <c r="G41" s="2" t="inlineStr">
        <is>
          <t>Laxmi Hydraulics</t>
        </is>
      </c>
      <c r="H41" s="2" t="inlineStr">
        <is>
          <t>1</t>
        </is>
      </c>
      <c r="I41" s="2" t="inlineStr">
        <is>
          <t>EA</t>
        </is>
      </c>
      <c r="J41" s="3" t="inlineStr">
        <is>
          <t>Cast Iron</t>
        </is>
      </c>
      <c r="K41" s="2" t="inlineStr">
        <is>
          <t>~250</t>
        </is>
      </c>
      <c r="L41" s="2" t="inlineStr">
        <is>
          <t>0</t>
        </is>
      </c>
      <c r="M41" s="3" t="inlineStr">
        <is>
          <t>IE3 TEFC, 1 unit</t>
        </is>
      </c>
    </row>
    <row r="42">
      <c r="A42" s="2" t="inlineStr">
        <is>
          <t>CPLG-KSB-002</t>
        </is>
      </c>
      <c r="B42" s="3" t="inlineStr">
        <is>
          <t>Coupling for 9975830001-1100</t>
        </is>
      </c>
      <c r="C42" s="2" t="inlineStr">
        <is>
          <t>05550089</t>
        </is>
      </c>
      <c r="D42" s="2" t="inlineStr">
        <is>
          <t>Coupling</t>
        </is>
      </c>
      <c r="E42" s="2" t="inlineStr">
        <is>
          <t>Flexible</t>
        </is>
      </c>
      <c r="F42" s="2" t="inlineStr">
        <is>
          <t>KSB RPH-V 40-180</t>
        </is>
      </c>
      <c r="G42" s="2" t="inlineStr">
        <is>
          <t>Unique Transmission</t>
        </is>
      </c>
      <c r="H42" s="2" t="inlineStr">
        <is>
          <t>1</t>
        </is>
      </c>
      <c r="I42" s="2" t="inlineStr">
        <is>
          <t>EA</t>
        </is>
      </c>
      <c r="J42" s="3" t="inlineStr">
        <is>
          <t>Steel</t>
        </is>
      </c>
      <c r="K42" s="2" t="n"/>
      <c r="L42" s="2" t="inlineStr">
        <is>
          <t>45</t>
        </is>
      </c>
      <c r="M42" s="3" t="inlineStr">
        <is>
          <t>Smaller coupling</t>
        </is>
      </c>
    </row>
    <row r="43">
      <c r="A43" s="2" t="inlineStr">
        <is>
          <t>BASE-KSB-002</t>
        </is>
      </c>
      <c r="B43" s="3" t="inlineStr">
        <is>
          <t>Soleplate RPHV40-181/B D24IN</t>
        </is>
      </c>
      <c r="C43" s="2" t="inlineStr">
        <is>
          <t>05550421</t>
        </is>
      </c>
      <c r="D43" s="2" t="inlineStr">
        <is>
          <t>Baseplate</t>
        </is>
      </c>
      <c r="E43" s="2" t="inlineStr">
        <is>
          <t>Mounting</t>
        </is>
      </c>
      <c r="F43" s="2" t="inlineStr">
        <is>
          <t>KSB RPH-V 40-180</t>
        </is>
      </c>
      <c r="G43" s="2" t="inlineStr">
        <is>
          <t>The Sky Industries</t>
        </is>
      </c>
      <c r="H43" s="2" t="inlineStr">
        <is>
          <t>1</t>
        </is>
      </c>
      <c r="I43" s="2" t="inlineStr">
        <is>
          <t>EA</t>
        </is>
      </c>
      <c r="J43" s="3" t="inlineStr">
        <is>
          <t>Fabricated MS</t>
        </is>
      </c>
      <c r="K43" s="2" t="n"/>
      <c r="L43" s="2" t="inlineStr">
        <is>
          <t>50</t>
        </is>
      </c>
      <c r="M43" s="3" t="n"/>
    </row>
    <row r="44" ht="26.25" customHeight="1" s="64" thickBot="1">
      <c r="A44" s="13" t="inlineStr">
        <is>
          <t>STOOL-KSB-002</t>
        </is>
      </c>
      <c r="B44" s="14" t="inlineStr">
        <is>
          <t>Motor Stool RPH-V FR 132 S/M2P/4P</t>
        </is>
      </c>
      <c r="C44" s="13" t="inlineStr">
        <is>
          <t>5479064</t>
        </is>
      </c>
      <c r="D44" s="13" t="inlineStr">
        <is>
          <t>Stool</t>
        </is>
      </c>
      <c r="E44" s="13" t="inlineStr">
        <is>
          <t>Support</t>
        </is>
      </c>
      <c r="F44" s="13" t="inlineStr">
        <is>
          <t>KSB RPH-V 40-180</t>
        </is>
      </c>
      <c r="G44" s="13" t="inlineStr">
        <is>
          <t>Stock</t>
        </is>
      </c>
      <c r="H44" s="13" t="inlineStr">
        <is>
          <t>1</t>
        </is>
      </c>
      <c r="I44" s="13" t="inlineStr">
        <is>
          <t>EA</t>
        </is>
      </c>
      <c r="J44" s="14" t="inlineStr">
        <is>
          <t>Fabricated MS</t>
        </is>
      </c>
      <c r="K44" s="13" t="n"/>
      <c r="L44" s="13" t="inlineStr">
        <is>
          <t>0</t>
        </is>
      </c>
      <c r="M44" s="14" t="n"/>
    </row>
    <row r="45" ht="45.75" customHeight="1" s="64" thickBot="1">
      <c r="A45" s="15" t="inlineStr">
        <is>
          <t>PUMP-METSO-HM200</t>
        </is>
      </c>
      <c r="B45" s="15" t="inlineStr">
        <is>
          <t>Pump Assembly - Metso HM200 MHC-S C5 DDE</t>
        </is>
      </c>
      <c r="C45" s="15" t="inlineStr">
        <is>
          <t>SAL537200</t>
        </is>
      </c>
      <c r="D45" s="15" t="inlineStr">
        <is>
          <t>Pump</t>
        </is>
      </c>
      <c r="E45" s="15" t="inlineStr">
        <is>
          <t>Centrifugal Horizontal Slurry</t>
        </is>
      </c>
      <c r="F45" s="16" t="inlineStr">
        <is>
          <t>Metso HM200 MHC-S C5 DDE</t>
        </is>
      </c>
      <c r="G45" s="15" t="inlineStr">
        <is>
          <t>Metso Outotec India Pvt Ltd</t>
        </is>
      </c>
      <c r="H45" s="18" t="n">
        <v>1</v>
      </c>
      <c r="I45" s="15" t="inlineStr">
        <is>
          <t>EA</t>
        </is>
      </c>
      <c r="J45" s="15" t="inlineStr">
        <is>
          <t>Various</t>
        </is>
      </c>
      <c r="K45" s="15" t="n">
        <v>944.7</v>
      </c>
      <c r="L45" s="15" t="n"/>
      <c r="M45" s="16" t="inlineStr">
        <is>
          <t>HM200 bare pump; single stage; V-belt driven; impeller dia 500mm; suction NPS8" ANSI300; discharge NPS6" ANSI300</t>
        </is>
      </c>
    </row>
    <row r="46" ht="45.75" customHeight="1" s="64" thickBot="1">
      <c r="A46" s="15" t="inlineStr">
        <is>
          <t>CAS-METSO-001</t>
        </is>
      </c>
      <c r="B46" s="15" t="inlineStr">
        <is>
          <t>Casing Module HM200 C5/W9 (GPS800)</t>
        </is>
      </c>
      <c r="C46" s="15" t="inlineStr">
        <is>
          <t>SAL532662-W1</t>
        </is>
      </c>
      <c r="D46" s="15" t="inlineStr">
        <is>
          <t>Casing</t>
        </is>
      </c>
      <c r="E46" s="15" t="inlineStr">
        <is>
          <t>Pump Hydraulics</t>
        </is>
      </c>
      <c r="F46" s="16" t="inlineStr">
        <is>
          <t>Metso HM200 MHC-S C5 DDE</t>
        </is>
      </c>
      <c r="G46" s="15" t="inlineStr">
        <is>
          <t>Metso Outotec India Pvt Ltd</t>
        </is>
      </c>
      <c r="H46" s="18" t="n">
        <v>1</v>
      </c>
      <c r="I46" s="15" t="inlineStr">
        <is>
          <t>EA</t>
        </is>
      </c>
      <c r="J46" s="15" t="inlineStr">
        <is>
          <t>ASTM A532 GR.IIIA (GPS800)</t>
        </is>
      </c>
      <c r="K46" s="15" t="n">
        <v>375.1</v>
      </c>
      <c r="L46" s="15" t="n"/>
      <c r="M46" s="16" t="inlineStr">
        <is>
          <t>Single volute casing; includes Case HM200 (PDCH2034, 321.2kg) + Back Liner (PDCH2021, 53.9kg); hydro test 16 bar g</t>
        </is>
      </c>
    </row>
    <row r="47" ht="15.75" customHeight="1" s="64" thickBot="1">
      <c r="A47" s="15" t="inlineStr">
        <is>
          <t>CAS-METSO-002</t>
        </is>
      </c>
      <c r="B47" s="15" t="inlineStr">
        <is>
          <t>Case HM200 GPS800</t>
        </is>
      </c>
      <c r="C47" s="15" t="inlineStr">
        <is>
          <t>PDCH2034</t>
        </is>
      </c>
      <c r="D47" s="15" t="inlineStr">
        <is>
          <t>Casing</t>
        </is>
      </c>
      <c r="E47" s="15" t="inlineStr">
        <is>
          <t>Pump Hydraulics</t>
        </is>
      </c>
      <c r="F47" s="16" t="inlineStr">
        <is>
          <t>Metso HM200 MHC-S C5 DDE</t>
        </is>
      </c>
      <c r="G47" s="15" t="inlineStr">
        <is>
          <t>Metso Outotec India Pvt Ltd</t>
        </is>
      </c>
      <c r="H47" s="18" t="n">
        <v>1</v>
      </c>
      <c r="I47" s="15" t="inlineStr">
        <is>
          <t>EA</t>
        </is>
      </c>
      <c r="J47" s="15" t="inlineStr">
        <is>
          <t>ASTM A532 GR.IIIA (GPS800)</t>
        </is>
      </c>
      <c r="K47" s="15" t="n">
        <v>321.2</v>
      </c>
      <c r="L47" s="15" t="n"/>
      <c r="M47" s="16" t="inlineStr">
        <is>
          <t>Main volute casing body; ANSI 300 flanges</t>
        </is>
      </c>
    </row>
    <row r="48" ht="15.75" customHeight="1" s="64" thickBot="1">
      <c r="A48" s="15" t="inlineStr">
        <is>
          <t>CAS-METSO-003</t>
        </is>
      </c>
      <c r="B48" s="15" t="inlineStr">
        <is>
          <t>Back Liner FR500 GPS800</t>
        </is>
      </c>
      <c r="C48" s="15" t="inlineStr">
        <is>
          <t>PDCH2021</t>
        </is>
      </c>
      <c r="D48" s="15" t="inlineStr">
        <is>
          <t>Casing</t>
        </is>
      </c>
      <c r="E48" s="15" t="inlineStr">
        <is>
          <t>Pump Hydraulics</t>
        </is>
      </c>
      <c r="F48" s="16" t="inlineStr">
        <is>
          <t>Metso HM200 MHC-S C5 DDE</t>
        </is>
      </c>
      <c r="G48" s="15" t="inlineStr">
        <is>
          <t>Metso Outotec India Pvt Ltd</t>
        </is>
      </c>
      <c r="H48" s="18" t="n">
        <v>1</v>
      </c>
      <c r="I48" s="15" t="inlineStr">
        <is>
          <t>EA</t>
        </is>
      </c>
      <c r="J48" s="15" t="inlineStr">
        <is>
          <t>ASTM A532 GR.IIIA (GPS800)</t>
        </is>
      </c>
      <c r="K48" s="15" t="n">
        <v>53.9</v>
      </c>
      <c r="L48" s="15" t="n"/>
      <c r="M48" s="16" t="inlineStr">
        <is>
          <t>Back liner; wear part</t>
        </is>
      </c>
    </row>
    <row r="49" ht="30.75" customHeight="1" s="64" thickBot="1">
      <c r="A49" s="15" t="inlineStr">
        <is>
          <t>IMP-METSO-001</t>
        </is>
      </c>
      <c r="B49" s="15" t="inlineStr">
        <is>
          <t>Pump Impeller HM200 C5 GPS800 (Machined)</t>
        </is>
      </c>
      <c r="C49" s="15" t="inlineStr">
        <is>
          <t>PDCH2019</t>
        </is>
      </c>
      <c r="D49" s="15" t="inlineStr">
        <is>
          <t>Impeller</t>
        </is>
      </c>
      <c r="E49" s="15" t="inlineStr">
        <is>
          <t>Pump Hydraulics</t>
        </is>
      </c>
      <c r="F49" s="16" t="inlineStr">
        <is>
          <t>Metso HM200 MHC-S C5 DDE</t>
        </is>
      </c>
      <c r="G49" s="15" t="inlineStr">
        <is>
          <t>Metso Outotec India Pvt Ltd</t>
        </is>
      </c>
      <c r="H49" s="18" t="n">
        <v>1</v>
      </c>
      <c r="I49" s="15" t="inlineStr">
        <is>
          <t>EA</t>
        </is>
      </c>
      <c r="J49" s="15" t="inlineStr">
        <is>
          <t>ASTM A532 GR.IIIA (GPS800)</t>
        </is>
      </c>
      <c r="K49" s="15" t="n">
        <v>130.2</v>
      </c>
      <c r="L49" s="15" t="n"/>
      <c r="M49" s="16" t="inlineStr">
        <is>
          <t>Closed type; fixed diameter 500mm; 5-vane; max sphere 65mm; GD2=5.08 kgm²</t>
        </is>
      </c>
    </row>
    <row r="50" ht="15.75" customHeight="1" s="64" thickBot="1">
      <c r="A50" s="15" t="inlineStr">
        <is>
          <t>IMP-METSO-002</t>
        </is>
      </c>
      <c r="B50" s="15" t="inlineStr">
        <is>
          <t>Billet Pump Impeller HM200 C5 GPS800 (Raw)</t>
        </is>
      </c>
      <c r="C50" s="15" t="inlineStr">
        <is>
          <t>PDCH2019-01</t>
        </is>
      </c>
      <c r="D50" s="15" t="inlineStr">
        <is>
          <t>Impeller</t>
        </is>
      </c>
      <c r="E50" s="15" t="inlineStr">
        <is>
          <t>Pump Hydraulics</t>
        </is>
      </c>
      <c r="F50" s="15" t="inlineStr">
        <is>
          <t>Metso HM200 MHC-S C5 DDE</t>
        </is>
      </c>
      <c r="G50" s="15" t="inlineStr">
        <is>
          <t>Metso Outotec India Pvt Ltd</t>
        </is>
      </c>
      <c r="H50" s="18" t="n">
        <v>1</v>
      </c>
      <c r="I50" s="15" t="inlineStr">
        <is>
          <t>EA</t>
        </is>
      </c>
      <c r="J50" s="15" t="inlineStr">
        <is>
          <t>ASTM A532 GR.IIIA (GPS800)</t>
        </is>
      </c>
      <c r="K50" s="15" t="n">
        <v>130.7</v>
      </c>
      <c r="L50" s="15" t="n"/>
      <c r="M50" s="16" t="inlineStr">
        <is>
          <t>Pre-machined billet impeller; spare/commissioning</t>
        </is>
      </c>
    </row>
    <row r="51" ht="30.75" customHeight="1" s="64" thickBot="1">
      <c r="A51" s="15" t="inlineStr">
        <is>
          <t>BRG-METSO-001</t>
        </is>
      </c>
      <c r="B51" s="15" t="inlineStr">
        <is>
          <t>Bearing Assembly FR500-S DDE</t>
        </is>
      </c>
      <c r="C51" s="15" t="inlineStr">
        <is>
          <t>PDWB062-S</t>
        </is>
      </c>
      <c r="D51" s="15" t="inlineStr">
        <is>
          <t>Bearing</t>
        </is>
      </c>
      <c r="E51" s="15" t="inlineStr">
        <is>
          <t>Bearing Frame</t>
        </is>
      </c>
      <c r="F51" s="15" t="inlineStr">
        <is>
          <t>Metso HM200 MHC-S C5 DDE</t>
        </is>
      </c>
      <c r="G51" s="15" t="inlineStr">
        <is>
          <t>Metso Outotec India Pvt Ltd</t>
        </is>
      </c>
      <c r="H51" s="18" t="n">
        <v>1</v>
      </c>
      <c r="I51" s="15" t="inlineStr">
        <is>
          <t>EA</t>
        </is>
      </c>
      <c r="J51" s="15" t="inlineStr">
        <is>
          <t>Steel</t>
        </is>
      </c>
      <c r="K51" s="15" t="n">
        <v>145.9</v>
      </c>
      <c r="L51" s="15" t="n"/>
      <c r="M51" s="16" t="inlineStr">
        <is>
          <t>Double drive end (DDE) taper roller bearing assembly; TIMKEN make; grease lubricated</t>
        </is>
      </c>
    </row>
    <row r="52" ht="15.75" customHeight="1" s="64" thickBot="1">
      <c r="A52" s="15" t="inlineStr">
        <is>
          <t>BRG-METSO-002</t>
        </is>
      </c>
      <c r="B52" s="15" t="inlineStr">
        <is>
          <t>Bearing Frame FR500-S</t>
        </is>
      </c>
      <c r="C52" s="15" t="inlineStr">
        <is>
          <t>500648-M2</t>
        </is>
      </c>
      <c r="D52" s="15" t="inlineStr">
        <is>
          <t>Bearing</t>
        </is>
      </c>
      <c r="E52" s="15" t="inlineStr">
        <is>
          <t>Bearing Frame</t>
        </is>
      </c>
      <c r="F52" s="15" t="inlineStr">
        <is>
          <t>Metso HM200 MHC-S C5 DDE</t>
        </is>
      </c>
      <c r="G52" s="15" t="inlineStr">
        <is>
          <t>Metso Outotec India Pvt Ltd</t>
        </is>
      </c>
      <c r="H52" s="18" t="n">
        <v>1</v>
      </c>
      <c r="I52" s="15" t="inlineStr">
        <is>
          <t>EA</t>
        </is>
      </c>
      <c r="J52" s="15" t="inlineStr">
        <is>
          <t>IS:2062 MS</t>
        </is>
      </c>
      <c r="K52" s="15" t="n">
        <v>199.9</v>
      </c>
      <c r="L52" s="15" t="n"/>
      <c r="M52" s="16" t="inlineStr">
        <is>
          <t>Bearing frame housing structure</t>
        </is>
      </c>
    </row>
    <row r="53" ht="30.75" customHeight="1" s="64" thickBot="1">
      <c r="A53" s="15" t="inlineStr">
        <is>
          <t>FRM-METSO-001</t>
        </is>
      </c>
      <c r="B53" s="15" t="inlineStr">
        <is>
          <t>Frame Assembly (Frame Module FR500)</t>
        </is>
      </c>
      <c r="C53" s="15" t="inlineStr">
        <is>
          <t>SAL534463-P1</t>
        </is>
      </c>
      <c r="D53" s="15" t="inlineStr">
        <is>
          <t>Frame</t>
        </is>
      </c>
      <c r="E53" s="15" t="inlineStr">
        <is>
          <t>Structural</t>
        </is>
      </c>
      <c r="F53" s="15" t="inlineStr">
        <is>
          <t>Metso HM200 MHC-S C5 DDE</t>
        </is>
      </c>
      <c r="G53" s="15" t="inlineStr">
        <is>
          <t>Metso Outotec India Pvt Ltd</t>
        </is>
      </c>
      <c r="H53" s="18" t="n">
        <v>1</v>
      </c>
      <c r="I53" s="15" t="inlineStr">
        <is>
          <t>EA</t>
        </is>
      </c>
      <c r="J53" s="15" t="inlineStr">
        <is>
          <t>MS TZN coated</t>
        </is>
      </c>
      <c r="K53" s="15" t="n">
        <v>205.4</v>
      </c>
      <c r="L53" s="15" t="n"/>
      <c r="M53" s="16" t="inlineStr">
        <is>
          <t>Complete frame module; includes saddle, fasteners; bearing frame 199.9kg</t>
        </is>
      </c>
    </row>
    <row r="54" ht="45.75" customHeight="1" s="64" thickBot="1">
      <c r="A54" s="15" t="inlineStr">
        <is>
          <t>SEAL-METSO-001</t>
        </is>
      </c>
      <c r="B54" s="15" t="inlineStr">
        <is>
          <t>Mechanical Seal Single FR500 with Adaptor</t>
        </is>
      </c>
      <c r="C54" s="15" t="inlineStr">
        <is>
          <t>AX03-900016694</t>
        </is>
      </c>
      <c r="D54" s="15" t="inlineStr">
        <is>
          <t>Seal</t>
        </is>
      </c>
      <c r="E54" s="15" t="inlineStr">
        <is>
          <t>Shaft Sealing</t>
        </is>
      </c>
      <c r="F54" s="15" t="inlineStr">
        <is>
          <t>Metso HM200 MHC-S C5 DDE</t>
        </is>
      </c>
      <c r="G54" s="15" t="inlineStr">
        <is>
          <t>Flowserve SANMAR Ltd</t>
        </is>
      </c>
      <c r="H54" s="18" t="n">
        <v>1</v>
      </c>
      <c r="I54" s="15" t="inlineStr">
        <is>
          <t>EA</t>
        </is>
      </c>
      <c r="J54" s="15" t="inlineStr">
        <is>
          <t>Various (316SS, ceramic, etc.)</t>
        </is>
      </c>
      <c r="K54" s="15" t="n">
        <v>34.9</v>
      </c>
      <c r="L54" s="15" t="n"/>
      <c r="M54" s="16" t="inlineStr">
        <is>
          <t>Flowserve model 2H-104764; single mech seal with SLD (Synthetic Lubricating Device); API Plan 62; cartridge type; 5.875" size</t>
        </is>
      </c>
    </row>
    <row r="55" ht="15.75" customHeight="1" s="64" thickBot="1">
      <c r="A55" s="15" t="inlineStr">
        <is>
          <t>SEAL-METSO-002</t>
        </is>
      </c>
      <c r="B55" s="15" t="inlineStr">
        <is>
          <t>Shaft Sleeve FR500</t>
        </is>
      </c>
      <c r="C55" s="15" t="inlineStr">
        <is>
          <t>PDCH5050</t>
        </is>
      </c>
      <c r="D55" s="15" t="inlineStr">
        <is>
          <t>Seal</t>
        </is>
      </c>
      <c r="E55" s="15" t="inlineStr">
        <is>
          <t>Shaft Sealing</t>
        </is>
      </c>
      <c r="F55" s="15" t="inlineStr">
        <is>
          <t>Metso HM200 MHC-S C5 DDE</t>
        </is>
      </c>
      <c r="G55" s="15" t="inlineStr">
        <is>
          <t>Metso Outotec India Pvt Ltd</t>
        </is>
      </c>
      <c r="H55" s="18" t="n">
        <v>1</v>
      </c>
      <c r="I55" s="15" t="inlineStr">
        <is>
          <t>EA</t>
        </is>
      </c>
      <c r="J55" s="15" t="inlineStr">
        <is>
          <t>SS316 (1.4436)</t>
        </is>
      </c>
      <c r="K55" s="15" t="n">
        <v>4.4</v>
      </c>
      <c r="L55" s="15" t="n"/>
      <c r="M55" s="16" t="inlineStr">
        <is>
          <t>Shaft sleeve under seal; CH5050 dwg</t>
        </is>
      </c>
    </row>
    <row r="56" ht="15.75" customHeight="1" s="64" thickBot="1">
      <c r="A56" s="15" t="inlineStr">
        <is>
          <t>SEAL-METSO-003</t>
        </is>
      </c>
      <c r="B56" s="15" t="inlineStr">
        <is>
          <t>Gland Guard Kit FR500</t>
        </is>
      </c>
      <c r="C56" s="15" t="inlineStr">
        <is>
          <t>SAL530154-M1</t>
        </is>
      </c>
      <c r="D56" s="15" t="inlineStr">
        <is>
          <t>Seal</t>
        </is>
      </c>
      <c r="E56" s="15" t="inlineStr">
        <is>
          <t>Shaft Sealing</t>
        </is>
      </c>
      <c r="F56" s="15" t="inlineStr">
        <is>
          <t>Metso HM200 MHC-S C5 DDE</t>
        </is>
      </c>
      <c r="G56" s="15" t="inlineStr">
        <is>
          <t>Metso Outotec India Pvt Ltd</t>
        </is>
      </c>
      <c r="H56" s="18" t="n">
        <v>1</v>
      </c>
      <c r="I56" s="15" t="inlineStr">
        <is>
          <t>EA</t>
        </is>
      </c>
      <c r="J56" s="15" t="inlineStr">
        <is>
          <t>Steel</t>
        </is>
      </c>
      <c r="K56" s="15" t="n">
        <v>1.4</v>
      </c>
      <c r="L56" s="15" t="n"/>
      <c r="M56" s="16" t="inlineStr">
        <is>
          <t>Gland guard (upper SAL529575-M1 + lower 501454-1)</t>
        </is>
      </c>
    </row>
    <row r="57" ht="30.75" customHeight="1" s="64" thickBot="1">
      <c r="A57" s="15" t="inlineStr">
        <is>
          <t>FLG-METSO-001</t>
        </is>
      </c>
      <c r="B57" s="15" t="inlineStr">
        <is>
          <t>Flange Assembly NPS 8" ANSI 300LB (Suction)</t>
        </is>
      </c>
      <c r="C57" s="15" t="inlineStr">
        <is>
          <t>504079-M1</t>
        </is>
      </c>
      <c r="D57" s="15" t="inlineStr">
        <is>
          <t>Flange</t>
        </is>
      </c>
      <c r="E57" s="15" t="inlineStr">
        <is>
          <t>Nozzle</t>
        </is>
      </c>
      <c r="F57" s="15" t="inlineStr">
        <is>
          <t>Metso HM200 MHC-S C5 DDE</t>
        </is>
      </c>
      <c r="G57" s="15" t="inlineStr">
        <is>
          <t>Metso Outotec India Pvt Ltd</t>
        </is>
      </c>
      <c r="H57" s="18" t="n">
        <v>1</v>
      </c>
      <c r="I57" s="15" t="inlineStr">
        <is>
          <t>EA</t>
        </is>
      </c>
      <c r="J57" s="15" t="inlineStr">
        <is>
          <t>Carbon Steel 1.0045</t>
        </is>
      </c>
      <c r="K57" s="15" t="n">
        <v>27.3</v>
      </c>
      <c r="L57" s="15" t="n"/>
      <c r="M57" s="16" t="inlineStr">
        <is>
          <t>Suction flange; 2x half flanges (12.8kg each) + bolts/nuts; ANSI/ASME B16.5 Class 300</t>
        </is>
      </c>
    </row>
    <row r="58" ht="30.75" customHeight="1" s="64" thickBot="1">
      <c r="A58" s="15" t="inlineStr">
        <is>
          <t>FLG-METSO-002</t>
        </is>
      </c>
      <c r="B58" s="15" t="inlineStr">
        <is>
          <t>Flange Assembly NPS 6" ANSI 300LB (Discharge)</t>
        </is>
      </c>
      <c r="C58" s="15" t="inlineStr">
        <is>
          <t>500680-M1</t>
        </is>
      </c>
      <c r="D58" s="15" t="inlineStr">
        <is>
          <t>Flange</t>
        </is>
      </c>
      <c r="E58" s="15" t="inlineStr">
        <is>
          <t>Nozzle</t>
        </is>
      </c>
      <c r="F58" s="15" t="inlineStr">
        <is>
          <t>Metso HM200 MHC-S C5 DDE</t>
        </is>
      </c>
      <c r="G58" s="15" t="inlineStr">
        <is>
          <t>Metso Outotec India Pvt Ltd</t>
        </is>
      </c>
      <c r="H58" s="18" t="n">
        <v>1</v>
      </c>
      <c r="I58" s="15" t="inlineStr">
        <is>
          <t>EA</t>
        </is>
      </c>
      <c r="J58" s="15" t="inlineStr">
        <is>
          <t>Carbon Steel 1.0045</t>
        </is>
      </c>
      <c r="K58" s="15" t="n">
        <v>11.4</v>
      </c>
      <c r="L58" s="15" t="n"/>
      <c r="M58" s="16" t="inlineStr">
        <is>
          <t>Discharge flange; 2x half flanges (5.6kg each); ANSI/ASME B16.5 Class 300</t>
        </is>
      </c>
    </row>
    <row r="59" ht="15.75" customHeight="1" s="64" thickBot="1">
      <c r="A59" s="15" t="inlineStr">
        <is>
          <t>GSK-METSO-001</t>
        </is>
      </c>
      <c r="B59" s="15" t="inlineStr">
        <is>
          <t>Gasket Inlet/Outlet (Suction side)</t>
        </is>
      </c>
      <c r="C59" s="15" t="inlineStr">
        <is>
          <t>PD731032</t>
        </is>
      </c>
      <c r="D59" s="15" t="inlineStr">
        <is>
          <t>Gasket</t>
        </is>
      </c>
      <c r="E59" s="15" t="inlineStr">
        <is>
          <t>Sealing</t>
        </is>
      </c>
      <c r="F59" s="15" t="inlineStr">
        <is>
          <t>Metso HM200 MHC-S C5 DDE</t>
        </is>
      </c>
      <c r="G59" s="15" t="inlineStr">
        <is>
          <t>Metso Outotec India Pvt Ltd</t>
        </is>
      </c>
      <c r="H59" s="18" t="n">
        <v>1</v>
      </c>
      <c r="I59" s="15" t="inlineStr">
        <is>
          <t>EA</t>
        </is>
      </c>
      <c r="J59" s="15" t="inlineStr">
        <is>
          <t>NR 70° SH (NBR)</t>
        </is>
      </c>
      <c r="K59" s="15" t="n">
        <v>0.1</v>
      </c>
      <c r="L59" s="15" t="n"/>
      <c r="M59" s="16" t="inlineStr">
        <is>
          <t>CH2478 spec; NPS8" inlet gasket</t>
        </is>
      </c>
    </row>
    <row r="60" ht="15.75" customHeight="1" s="64" thickBot="1">
      <c r="A60" s="15" t="inlineStr">
        <is>
          <t>GSK-METSO-002</t>
        </is>
      </c>
      <c r="B60" s="15" t="inlineStr">
        <is>
          <t>Gasket Inlet/Outlet (Discharge side)</t>
        </is>
      </c>
      <c r="C60" s="15" t="inlineStr">
        <is>
          <t>PD701032</t>
        </is>
      </c>
      <c r="D60" s="15" t="inlineStr">
        <is>
          <t>Gasket</t>
        </is>
      </c>
      <c r="E60" s="15" t="inlineStr">
        <is>
          <t>Sealing</t>
        </is>
      </c>
      <c r="F60" s="15" t="inlineStr">
        <is>
          <t>Metso HM200 MHC-S C5 DDE</t>
        </is>
      </c>
      <c r="G60" s="15" t="inlineStr">
        <is>
          <t>Metso Outotec India Pvt Ltd</t>
        </is>
      </c>
      <c r="H60" s="18" t="n">
        <v>1</v>
      </c>
      <c r="I60" s="15" t="inlineStr">
        <is>
          <t>EA</t>
        </is>
      </c>
      <c r="J60" s="15" t="inlineStr">
        <is>
          <t>NR 70° SH (NBR)</t>
        </is>
      </c>
      <c r="K60" s="15" t="n">
        <v>0.1</v>
      </c>
      <c r="L60" s="15" t="n"/>
      <c r="M60" s="16" t="inlineStr">
        <is>
          <t>CH2478 spec; NPS6" outlet gasket</t>
        </is>
      </c>
    </row>
    <row r="61" ht="15.75" customHeight="1" s="64" thickBot="1">
      <c r="A61" s="15" t="inlineStr">
        <is>
          <t>GSK-METSO-003</t>
        </is>
      </c>
      <c r="B61" s="15" t="inlineStr">
        <is>
          <t>O-Ring SMS1586-99.50X3.00-NBR70</t>
        </is>
      </c>
      <c r="C61" s="15" t="inlineStr">
        <is>
          <t>SA953201</t>
        </is>
      </c>
      <c r="D61" s="15" t="inlineStr">
        <is>
          <t>Gasket</t>
        </is>
      </c>
      <c r="E61" s="15" t="inlineStr">
        <is>
          <t>Sealing</t>
        </is>
      </c>
      <c r="F61" s="15" t="inlineStr">
        <is>
          <t>Metso HM200 MHC-S C5 DDE</t>
        </is>
      </c>
      <c r="G61" s="15" t="inlineStr">
        <is>
          <t>Metso Outotec India Pvt Ltd</t>
        </is>
      </c>
      <c r="H61" s="18" t="n">
        <v>2</v>
      </c>
      <c r="I61" s="15" t="inlineStr">
        <is>
          <t>EA</t>
        </is>
      </c>
      <c r="J61" s="15" t="inlineStr">
        <is>
          <t>NBR 70 Shore</t>
        </is>
      </c>
      <c r="K61" s="15" t="n">
        <v>0</v>
      </c>
      <c r="L61" s="15" t="n"/>
      <c r="M61" s="16" t="inlineStr">
        <is>
          <t>2 off per pump; casing sealing</t>
        </is>
      </c>
    </row>
    <row r="62" ht="15.75" customHeight="1" s="64" thickBot="1">
      <c r="A62" s="15" t="inlineStr">
        <is>
          <t>GSK-METSO-004</t>
        </is>
      </c>
      <c r="B62" s="15" t="inlineStr">
        <is>
          <t>O-Ring 350x5 NBR (Casing)</t>
        </is>
      </c>
      <c r="C62" s="15" t="inlineStr">
        <is>
          <t>SA959120</t>
        </is>
      </c>
      <c r="D62" s="15" t="inlineStr">
        <is>
          <t>Gasket</t>
        </is>
      </c>
      <c r="E62" s="15" t="inlineStr">
        <is>
          <t>Sealing</t>
        </is>
      </c>
      <c r="F62" s="15" t="inlineStr">
        <is>
          <t>Metso HM200 MHC-S C5 DDE</t>
        </is>
      </c>
      <c r="G62" s="15" t="inlineStr">
        <is>
          <t>Metso Outotec India Pvt Ltd</t>
        </is>
      </c>
      <c r="H62" s="18" t="n">
        <v>1</v>
      </c>
      <c r="I62" s="15" t="inlineStr">
        <is>
          <t>EA</t>
        </is>
      </c>
      <c r="J62" s="15" t="inlineStr">
        <is>
          <t>NBR</t>
        </is>
      </c>
      <c r="K62" s="15" t="n">
        <v>0</v>
      </c>
      <c r="L62" s="15" t="n"/>
      <c r="M62" s="16" t="inlineStr">
        <is>
          <t>Case module O-ring seal</t>
        </is>
      </c>
    </row>
    <row r="63" ht="30.75" customHeight="1" s="64" thickBot="1">
      <c r="A63" s="15" t="inlineStr">
        <is>
          <t>SHM-METSO-001</t>
        </is>
      </c>
      <c r="B63" s="15" t="inlineStr">
        <is>
          <t>Case Shim Module FR500-S PVC</t>
        </is>
      </c>
      <c r="C63" s="15" t="inlineStr">
        <is>
          <t>SAL535831-P1</t>
        </is>
      </c>
      <c r="D63" s="15" t="inlineStr">
        <is>
          <t>Shim</t>
        </is>
      </c>
      <c r="E63" s="15" t="inlineStr">
        <is>
          <t>Alignment</t>
        </is>
      </c>
      <c r="F63" s="15" t="inlineStr">
        <is>
          <t>Metso HM200 MHC-S C5 DDE</t>
        </is>
      </c>
      <c r="G63" s="15" t="inlineStr">
        <is>
          <t>Metso Outotec India Pvt Ltd</t>
        </is>
      </c>
      <c r="H63" s="18" t="n">
        <v>1</v>
      </c>
      <c r="I63" s="15" t="inlineStr">
        <is>
          <t>EA</t>
        </is>
      </c>
      <c r="J63" s="15" t="inlineStr">
        <is>
          <t>PVC-U</t>
        </is>
      </c>
      <c r="K63" s="15" t="n">
        <v>0.2</v>
      </c>
      <c r="L63" s="15" t="n"/>
      <c r="M63" s="16" t="inlineStr">
        <is>
          <t>2mm shims; max 2 per side for impeller clearance adjustment</t>
        </is>
      </c>
    </row>
    <row r="64" ht="30.75" customHeight="1" s="64" thickBot="1">
      <c r="A64" s="15" t="inlineStr">
        <is>
          <t>FST-METSO-001</t>
        </is>
      </c>
      <c r="B64" s="15" t="inlineStr">
        <is>
          <t>Wet End Fasteners Assembly HM200/MM250-S</t>
        </is>
      </c>
      <c r="C64" s="15" t="inlineStr">
        <is>
          <t>SAL535225-W1</t>
        </is>
      </c>
      <c r="D64" s="15" t="inlineStr">
        <is>
          <t>Fasteners</t>
        </is>
      </c>
      <c r="E64" s="15" t="inlineStr">
        <is>
          <t>Structural</t>
        </is>
      </c>
      <c r="F64" s="15" t="inlineStr">
        <is>
          <t>Metso HM200 MHC-S C5 DDE</t>
        </is>
      </c>
      <c r="G64" s="15" t="inlineStr">
        <is>
          <t>Metso Outotec India Pvt Ltd</t>
        </is>
      </c>
      <c r="H64" s="18" t="n">
        <v>1</v>
      </c>
      <c r="I64" s="15" t="inlineStr">
        <is>
          <t>SET</t>
        </is>
      </c>
      <c r="J64" s="15" t="inlineStr">
        <is>
          <t>Steel TZN coated</t>
        </is>
      </c>
      <c r="K64" s="15" t="n">
        <v>8.300000000000001</v>
      </c>
      <c r="L64" s="15" t="n"/>
      <c r="M64" s="16" t="inlineStr">
        <is>
          <t>Includes T-bolts M16x90, case bolt kit M24x110, nuts, washers; 16B C/W TZN</t>
        </is>
      </c>
    </row>
    <row r="65" ht="15.75" customHeight="1" s="64" thickBot="1">
      <c r="A65" s="15" t="inlineStr">
        <is>
          <t>SDL-METSO-001</t>
        </is>
      </c>
      <c r="B65" s="15" t="inlineStr">
        <is>
          <t>Saddle FR500</t>
        </is>
      </c>
      <c r="C65" s="15" t="inlineStr">
        <is>
          <t>500729-1</t>
        </is>
      </c>
      <c r="D65" s="15" t="inlineStr">
        <is>
          <t>Saddle</t>
        </is>
      </c>
      <c r="E65" s="15" t="inlineStr">
        <is>
          <t>Structural</t>
        </is>
      </c>
      <c r="F65" s="15" t="inlineStr">
        <is>
          <t>Metso HM200 MHC-S C5 DDE</t>
        </is>
      </c>
      <c r="G65" s="15" t="inlineStr">
        <is>
          <t>Metso Outotec India Pvt Ltd</t>
        </is>
      </c>
      <c r="H65" s="18" t="n">
        <v>1</v>
      </c>
      <c r="I65" s="15" t="inlineStr">
        <is>
          <t>EA</t>
        </is>
      </c>
      <c r="J65" s="15" t="inlineStr">
        <is>
          <t>JL1030 Cast Iron</t>
        </is>
      </c>
      <c r="K65" s="15" t="n">
        <v>1.8</v>
      </c>
      <c r="L65" s="15" t="n"/>
      <c r="M65" s="16" t="inlineStr">
        <is>
          <t>Pump casing support saddle</t>
        </is>
      </c>
    </row>
    <row r="66" ht="15.75" customHeight="1" s="64" thickBot="1">
      <c r="A66" s="15" t="inlineStr">
        <is>
          <t>SGN-METSO-001</t>
        </is>
      </c>
      <c r="B66" s="15" t="inlineStr">
        <is>
          <t>Sign Kit Right Rotating Pump FR250</t>
        </is>
      </c>
      <c r="C66" s="15" t="inlineStr">
        <is>
          <t>500125-S1-IN</t>
        </is>
      </c>
      <c r="D66" s="15" t="inlineStr">
        <is>
          <t>Nameplate</t>
        </is>
      </c>
      <c r="E66" s="15" t="inlineStr">
        <is>
          <t>Accessories</t>
        </is>
      </c>
      <c r="F66" s="15" t="inlineStr">
        <is>
          <t>Metso HM200 MHC-S C5 DDE</t>
        </is>
      </c>
      <c r="G66" s="15" t="inlineStr">
        <is>
          <t>Metso Outotec India Pvt Ltd</t>
        </is>
      </c>
      <c r="H66" s="18" t="n">
        <v>1</v>
      </c>
      <c r="I66" s="15" t="inlineStr">
        <is>
          <t>EA</t>
        </is>
      </c>
      <c r="J66" s="15" t="n"/>
      <c r="K66" s="15" t="n">
        <v>0</v>
      </c>
      <c r="L66" s="15" t="n"/>
      <c r="M66" s="16" t="inlineStr">
        <is>
          <t>Rotation direction sign kit</t>
        </is>
      </c>
    </row>
    <row r="67" ht="15.75" customHeight="1" s="64" thickBot="1">
      <c r="A67" s="15" t="inlineStr">
        <is>
          <t>VBL-METSO-001</t>
        </is>
      </c>
      <c r="B67" s="15" t="inlineStr">
        <is>
          <t>V-Belt Set 10 x 8V-1600 (4060mm length)</t>
        </is>
      </c>
      <c r="C67" s="15" t="n"/>
      <c r="D67" s="15" t="inlineStr">
        <is>
          <t>V-Belt</t>
        </is>
      </c>
      <c r="E67" s="15" t="inlineStr">
        <is>
          <t>Power Transmission</t>
        </is>
      </c>
      <c r="F67" s="15" t="inlineStr">
        <is>
          <t>Metso HM200 MHC-S C5 DDE</t>
        </is>
      </c>
      <c r="G67" s="15" t="inlineStr">
        <is>
          <t>Fenner</t>
        </is>
      </c>
      <c r="H67" s="18" t="n">
        <v>10</v>
      </c>
      <c r="I67" s="15" t="inlineStr">
        <is>
          <t>EA</t>
        </is>
      </c>
      <c r="J67" s="15" t="inlineStr">
        <is>
          <t>Rubber/Fabric</t>
        </is>
      </c>
      <c r="K67" s="15" t="n"/>
      <c r="L67" s="15" t="n"/>
      <c r="M67" s="16" t="inlineStr">
        <is>
          <t>8V section; 10 belts per pump; motor to pump drive</t>
        </is>
      </c>
    </row>
    <row r="68" ht="15.75" customHeight="1" s="64" thickBot="1">
      <c r="A68" s="15" t="inlineStr">
        <is>
          <t>VBL-METSO-002</t>
        </is>
      </c>
      <c r="B68" s="15" t="inlineStr">
        <is>
          <t>Motor Pulley 500 PCD, 10 Groove 8V</t>
        </is>
      </c>
      <c r="C68" s="15" t="n"/>
      <c r="D68" s="15" t="inlineStr">
        <is>
          <t>Pulley</t>
        </is>
      </c>
      <c r="E68" s="15" t="inlineStr">
        <is>
          <t>Power Transmission</t>
        </is>
      </c>
      <c r="F68" s="15" t="inlineStr">
        <is>
          <t>Metso HM200 MHC-S C5 DDE</t>
        </is>
      </c>
      <c r="G68" s="15" t="inlineStr">
        <is>
          <t>Fenner</t>
        </is>
      </c>
      <c r="H68" s="18" t="n">
        <v>1</v>
      </c>
      <c r="I68" s="15" t="inlineStr">
        <is>
          <t>EA</t>
        </is>
      </c>
      <c r="J68" s="15" t="inlineStr">
        <is>
          <t>Steel</t>
        </is>
      </c>
      <c r="K68" s="15" t="n"/>
      <c r="L68" s="15" t="n"/>
      <c r="M68" s="16" t="inlineStr">
        <is>
          <t>Motor side pulley; 500mm PCD; Bush 5050/D110</t>
        </is>
      </c>
    </row>
    <row r="69" ht="15.75" customHeight="1" s="64" thickBot="1">
      <c r="A69" s="15" t="inlineStr">
        <is>
          <t>VBL-METSO-003</t>
        </is>
      </c>
      <c r="B69" s="15" t="inlineStr">
        <is>
          <t>Pump Pulley 500 PCD, 10 Groove 8V</t>
        </is>
      </c>
      <c r="C69" s="15" t="n"/>
      <c r="D69" s="15" t="inlineStr">
        <is>
          <t>Pulley</t>
        </is>
      </c>
      <c r="E69" s="15" t="inlineStr">
        <is>
          <t>Power Transmission</t>
        </is>
      </c>
      <c r="F69" s="15" t="inlineStr">
        <is>
          <t>Metso HM200 MHC-S C5 DDE</t>
        </is>
      </c>
      <c r="G69" s="15" t="inlineStr">
        <is>
          <t>Fenner</t>
        </is>
      </c>
      <c r="H69" s="18" t="n">
        <v>1</v>
      </c>
      <c r="I69" s="15" t="inlineStr">
        <is>
          <t>EA</t>
        </is>
      </c>
      <c r="J69" s="15" t="inlineStr">
        <is>
          <t>Steel</t>
        </is>
      </c>
      <c r="K69" s="15" t="n"/>
      <c r="L69" s="15" t="n"/>
      <c r="M69" s="16" t="inlineStr">
        <is>
          <t>Pump side pulley; 500mm PCD; Bush 5050/D80</t>
        </is>
      </c>
    </row>
    <row r="70" ht="45.75" customHeight="1" s="64" thickBot="1">
      <c r="A70" s="15" t="inlineStr">
        <is>
          <t>MOT-METSO-001</t>
        </is>
      </c>
      <c r="B70" s="15" t="inlineStr">
        <is>
          <t>Motor Innomotics HV 500kW 4-Pole 690V VFD (1LA4400-4AW00-Z)</t>
        </is>
      </c>
      <c r="C70" s="15" t="inlineStr">
        <is>
          <t>3000021569/000100</t>
        </is>
      </c>
      <c r="D70" s="15" t="inlineStr">
        <is>
          <t>Motor</t>
        </is>
      </c>
      <c r="E70" s="15" t="inlineStr">
        <is>
          <t>Electrical Drive</t>
        </is>
      </c>
      <c r="F70" s="15" t="inlineStr">
        <is>
          <t>Metso HM200 MHC-S C5 DDE</t>
        </is>
      </c>
      <c r="G70" s="15" t="inlineStr">
        <is>
          <t>Innomotics India Pvt Ltd (formerly Siemens Large Drives)</t>
        </is>
      </c>
      <c r="H70" s="18" t="n">
        <v>1</v>
      </c>
      <c r="I70" s="15" t="inlineStr">
        <is>
          <t>EA</t>
        </is>
      </c>
      <c r="J70" s="15" t="inlineStr">
        <is>
          <t>Cast Iron Frame</t>
        </is>
      </c>
      <c r="K70" s="15" t="n">
        <v>3400</v>
      </c>
      <c r="L70" s="15" t="n"/>
      <c r="M70" s="16" t="inlineStr">
        <is>
          <t>IEC400 frame; 500kW; 690V; 4-pole; 1491rpm; IP55; IC411; VFD suitable (SINAMICS GH180); S1 duty; Therm.class 155F/130B; 3ph 50Hz; IN=570A</t>
        </is>
      </c>
    </row>
    <row r="71" ht="30.75" customHeight="1" s="64" thickBot="1">
      <c r="A71" s="15" t="inlineStr">
        <is>
          <t>MOT-METSO-002</t>
        </is>
      </c>
      <c r="B71" s="15" t="inlineStr">
        <is>
          <t>Motor DE Bearing SKF NU328E</t>
        </is>
      </c>
      <c r="C71" s="15" t="inlineStr">
        <is>
          <t>NU328E</t>
        </is>
      </c>
      <c r="D71" s="15" t="inlineStr">
        <is>
          <t>Bearing</t>
        </is>
      </c>
      <c r="E71" s="15" t="inlineStr">
        <is>
          <t>Motor Components</t>
        </is>
      </c>
      <c r="F71" s="15" t="inlineStr">
        <is>
          <t>Metso HM200 MHC-S C5 DDE</t>
        </is>
      </c>
      <c r="G71" s="15" t="inlineStr">
        <is>
          <t>SKF</t>
        </is>
      </c>
      <c r="H71" s="18" t="n">
        <v>1</v>
      </c>
      <c r="I71" s="15" t="inlineStr">
        <is>
          <t>EA</t>
        </is>
      </c>
      <c r="J71" s="15" t="inlineStr">
        <is>
          <t>Steel</t>
        </is>
      </c>
      <c r="K71" s="15" t="n"/>
      <c r="L71" s="15" t="n"/>
      <c r="M71" s="16" t="inlineStr">
        <is>
          <t>Motor drive end bearing; DIN5412; grease lube; ESSO UNIREX N3; 2000hr regreasing</t>
        </is>
      </c>
    </row>
    <row r="72" ht="30.75" customHeight="1" s="64" thickBot="1">
      <c r="A72" s="15" t="inlineStr">
        <is>
          <t>MOT-METSO-003</t>
        </is>
      </c>
      <c r="B72" s="15" t="inlineStr">
        <is>
          <t>Motor NDE Bearing SKF 6224C3 Insulated</t>
        </is>
      </c>
      <c r="C72" s="15" t="inlineStr">
        <is>
          <t>6224C3</t>
        </is>
      </c>
      <c r="D72" s="15" t="inlineStr">
        <is>
          <t>Bearing</t>
        </is>
      </c>
      <c r="E72" s="15" t="inlineStr">
        <is>
          <t>Motor Components</t>
        </is>
      </c>
      <c r="F72" s="15" t="inlineStr">
        <is>
          <t>Metso HM200 MHC-S C5 DDE</t>
        </is>
      </c>
      <c r="G72" s="15" t="inlineStr">
        <is>
          <t>SKF</t>
        </is>
      </c>
      <c r="H72" s="18" t="n">
        <v>1</v>
      </c>
      <c r="I72" s="15" t="inlineStr">
        <is>
          <t>EA</t>
        </is>
      </c>
      <c r="J72" s="15" t="inlineStr">
        <is>
          <t>Steel (electrically insulated)</t>
        </is>
      </c>
      <c r="K72" s="15" t="n"/>
      <c r="L72" s="15" t="n"/>
      <c r="M72" s="16" t="inlineStr">
        <is>
          <t>Motor non-drive end bearing; DIN625; electrically insulated; grease lube; ESSO UNIREX N3</t>
        </is>
      </c>
    </row>
    <row r="73" ht="30.75" customHeight="1" s="64" thickBot="1">
      <c r="A73" s="15" t="inlineStr">
        <is>
          <t>BPL-METSO-001</t>
        </is>
      </c>
      <c r="B73" s="15" t="inlineStr">
        <is>
          <t>Bed Frame with Motor Support</t>
        </is>
      </c>
      <c r="C73" s="15" t="n"/>
      <c r="D73" s="15" t="inlineStr">
        <is>
          <t>Baseplate</t>
        </is>
      </c>
      <c r="E73" s="15" t="inlineStr">
        <is>
          <t>Structural</t>
        </is>
      </c>
      <c r="F73" s="15" t="inlineStr">
        <is>
          <t>Metso HM200 MHC-S C5 DDE</t>
        </is>
      </c>
      <c r="G73" s="15" t="inlineStr">
        <is>
          <t>Metso Outotec India Pvt Ltd</t>
        </is>
      </c>
      <c r="H73" s="18" t="n">
        <v>1</v>
      </c>
      <c r="I73" s="15" t="inlineStr">
        <is>
          <t>EA</t>
        </is>
      </c>
      <c r="J73" s="15" t="inlineStr">
        <is>
          <t>MS / Structural Steel</t>
        </is>
      </c>
      <c r="K73" s="15" t="n">
        <v>792</v>
      </c>
      <c r="L73" s="15" t="n"/>
      <c r="M73" s="16" t="inlineStr">
        <is>
          <t>Common base frame for pump and motor; grouted; M24 anchor bolts; paint RAL7033</t>
        </is>
      </c>
    </row>
    <row r="74" ht="15.75" customHeight="1" s="64" thickBot="1">
      <c r="A74" s="15" t="inlineStr">
        <is>
          <t>GRD-METSO-001</t>
        </is>
      </c>
      <c r="B74" s="15" t="inlineStr">
        <is>
          <t>V-Belt Guard</t>
        </is>
      </c>
      <c r="C74" s="15" t="n"/>
      <c r="D74" s="15" t="inlineStr">
        <is>
          <t>Guard</t>
        </is>
      </c>
      <c r="E74" s="15" t="inlineStr">
        <is>
          <t>Safety</t>
        </is>
      </c>
      <c r="F74" s="15" t="inlineStr">
        <is>
          <t>Metso HM200 MHC-S C5 DDE</t>
        </is>
      </c>
      <c r="G74" s="15" t="inlineStr">
        <is>
          <t>Metso Outotec India Pvt Ltd</t>
        </is>
      </c>
      <c r="H74" s="18" t="n">
        <v>1</v>
      </c>
      <c r="I74" s="15" t="inlineStr">
        <is>
          <t>EA</t>
        </is>
      </c>
      <c r="J74" s="15" t="inlineStr">
        <is>
          <t>Steel</t>
        </is>
      </c>
      <c r="K74" s="15" t="n">
        <v>107</v>
      </c>
      <c r="L74" s="15" t="n"/>
      <c r="M74" s="16" t="inlineStr">
        <is>
          <t>Belt drive guard; covers motor-to-pump belt drive</t>
        </is>
      </c>
    </row>
    <row r="75" ht="45.75" customHeight="1" s="64" thickBot="1">
      <c r="A75" s="15" t="inlineStr">
        <is>
          <t>ASM-METSO-001</t>
        </is>
      </c>
      <c r="B75" s="16" t="inlineStr">
        <is>
          <t>Complete Pump Set Assembly (Pump+Motor+Frame+Guard)</t>
        </is>
      </c>
      <c r="C75" s="15" t="inlineStr">
        <is>
          <t>ZT2023.02-508-VEN-MEC-002</t>
        </is>
      </c>
      <c r="D75" s="15" t="inlineStr">
        <is>
          <t>Assembly</t>
        </is>
      </c>
      <c r="E75" s="15" t="inlineStr">
        <is>
          <t>Complete Set</t>
        </is>
      </c>
      <c r="F75" s="15" t="inlineStr">
        <is>
          <t>Metso HM200 MHC-S C5 DDE</t>
        </is>
      </c>
      <c r="G75" s="15" t="inlineStr">
        <is>
          <t>Metso Outotec India Pvt Ltd</t>
        </is>
      </c>
      <c r="H75" s="18" t="n">
        <v>1</v>
      </c>
      <c r="I75" s="15" t="inlineStr">
        <is>
          <t>SET</t>
        </is>
      </c>
      <c r="J75" s="15" t="inlineStr">
        <is>
          <t>Various</t>
        </is>
      </c>
      <c r="K75" s="15" t="n">
        <v>5390</v>
      </c>
      <c r="L75" s="15" t="n"/>
      <c r="M75" s="16" t="inlineStr">
        <is>
          <t>Total assembly weight from GA drawing SAL537200; pump 1010kg + motor 3400kg + frame 792kg + guard 107kg</t>
        </is>
      </c>
    </row>
    <row r="76" ht="45.75" customHeight="1" s="64" thickBot="1">
      <c r="A76" s="12" t="inlineStr">
        <is>
          <t>CAS-FLW-001</t>
        </is>
      </c>
      <c r="B76" s="12" t="inlineStr">
        <is>
          <t>Pump Casing Upper Half 300-LNN-600</t>
        </is>
      </c>
      <c r="C76" s="12" t="inlineStr">
        <is>
          <t>MS2425801-CAS-U</t>
        </is>
      </c>
      <c r="D76" s="12" t="inlineStr">
        <is>
          <t>Casing</t>
        </is>
      </c>
      <c r="E76" s="12" t="inlineStr">
        <is>
          <t>Upper Casing</t>
        </is>
      </c>
      <c r="F76" s="12" t="inlineStr">
        <is>
          <t>Flowserve 300-LNN-600</t>
        </is>
      </c>
      <c r="G76" s="12" t="inlineStr">
        <is>
          <t>Flowserve Corporation</t>
        </is>
      </c>
      <c r="H76" s="12" t="n">
        <v>1</v>
      </c>
      <c r="I76" s="12" t="inlineStr">
        <is>
          <t>EA</t>
        </is>
      </c>
      <c r="J76" s="12" t="inlineStr">
        <is>
          <t>Carbon Steel (CS)</t>
        </is>
      </c>
      <c r="K76" s="12" t="n">
        <v>272</v>
      </c>
      <c r="L76" s="12" t="n">
        <v>90</v>
      </c>
      <c r="M76" s="22" t="inlineStr">
        <is>
          <t>Top half; weight 272 kg from GA. Test pressure 24 barg. Horizontal split casing. Suction 350mm / Discharge 300mm. PN16 FF flanges</t>
        </is>
      </c>
    </row>
    <row r="77" ht="45.75" customHeight="1" s="64" thickBot="1">
      <c r="A77" s="12" t="inlineStr">
        <is>
          <t>CAS-FLW-002</t>
        </is>
      </c>
      <c r="B77" s="12" t="inlineStr">
        <is>
          <t>Pump Casing Lower Half 300-LNN-600</t>
        </is>
      </c>
      <c r="C77" s="12" t="inlineStr">
        <is>
          <t>MS2425801-CAS-L</t>
        </is>
      </c>
      <c r="D77" s="12" t="inlineStr">
        <is>
          <t>Casing</t>
        </is>
      </c>
      <c r="E77" s="12" t="inlineStr">
        <is>
          <t>Lower Casing</t>
        </is>
      </c>
      <c r="F77" s="12" t="inlineStr">
        <is>
          <t>Flowserve 300-LNN-600</t>
        </is>
      </c>
      <c r="G77" s="12" t="inlineStr">
        <is>
          <t>Flowserve Corporation</t>
        </is>
      </c>
      <c r="H77" s="12" t="n">
        <v>1</v>
      </c>
      <c r="I77" s="12" t="inlineStr">
        <is>
          <t>EA</t>
        </is>
      </c>
      <c r="J77" s="12" t="inlineStr">
        <is>
          <t>Carbon Steel (CS)</t>
        </is>
      </c>
      <c r="K77" s="12" t="n"/>
      <c r="L77" s="12" t="n">
        <v>90</v>
      </c>
      <c r="M77" s="22" t="inlineStr">
        <is>
          <t>Lower half. Total pump wt 1160 kg incl rotor 173 kg + top casing 272 kg. Lower casing ~715 kg (calculated: 1160-272-173)</t>
        </is>
      </c>
    </row>
    <row r="78" ht="45.75" customHeight="1" s="64" thickBot="1">
      <c r="A78" s="12" t="inlineStr">
        <is>
          <t>IMP-FLW-001</t>
        </is>
      </c>
      <c r="B78" s="12" t="inlineStr">
        <is>
          <t>Impeller 300-LNN-600 (Trimmed)</t>
        </is>
      </c>
      <c r="C78" s="12" t="inlineStr">
        <is>
          <t>MS2425801-IMP</t>
        </is>
      </c>
      <c r="D78" s="12" t="inlineStr">
        <is>
          <t>Impeller</t>
        </is>
      </c>
      <c r="E78" s="12" t="inlineStr">
        <is>
          <t>Closed Impeller</t>
        </is>
      </c>
      <c r="F78" s="12" t="inlineStr">
        <is>
          <t>Flowserve 300-LNN-600</t>
        </is>
      </c>
      <c r="G78" s="12" t="inlineStr">
        <is>
          <t>Flowserve Corporation</t>
        </is>
      </c>
      <c r="H78" s="12" t="n">
        <v>1</v>
      </c>
      <c r="I78" s="12" t="inlineStr">
        <is>
          <t>EA</t>
        </is>
      </c>
      <c r="J78" s="12" t="inlineStr">
        <is>
          <t>Carbon Steel (CS)</t>
        </is>
      </c>
      <c r="K78" s="12" t="n"/>
      <c r="L78" s="12" t="n">
        <v>90</v>
      </c>
      <c r="M78" s="22" t="inlineStr">
        <is>
          <t>Impeller trimmed per actual performance. Q=961 m3/h, H=86m. Part of rotor assembly (rotor total 173 kg). Material: Carbon Steel per nameplate</t>
        </is>
      </c>
    </row>
    <row r="79" ht="30.75" customHeight="1" s="64" thickBot="1">
      <c r="A79" s="12" t="inlineStr">
        <is>
          <t>RTR-FLW-001</t>
        </is>
      </c>
      <c r="B79" s="12" t="inlineStr">
        <is>
          <t>Pump Rotor Assembly 300-LNN-600</t>
        </is>
      </c>
      <c r="C79" s="12" t="inlineStr">
        <is>
          <t>MS2425801-RTR</t>
        </is>
      </c>
      <c r="D79" s="12" t="inlineStr">
        <is>
          <t>Rotor</t>
        </is>
      </c>
      <c r="E79" s="12" t="inlineStr">
        <is>
          <t>Rotor Assembly</t>
        </is>
      </c>
      <c r="F79" s="12" t="inlineStr">
        <is>
          <t>Flowserve 300-LNN-600</t>
        </is>
      </c>
      <c r="G79" s="12" t="inlineStr">
        <is>
          <t>Flowserve Corporation</t>
        </is>
      </c>
      <c r="H79" s="12" t="n">
        <v>1</v>
      </c>
      <c r="I79" s="12" t="inlineStr">
        <is>
          <t>EA</t>
        </is>
      </c>
      <c r="J79" s="12" t="inlineStr">
        <is>
          <t>Carbon Steel (CS)</t>
        </is>
      </c>
      <c r="K79" s="12" t="n">
        <v>173</v>
      </c>
      <c r="L79" s="12" t="n">
        <v>90</v>
      </c>
      <c r="M79" s="22" t="inlineStr">
        <is>
          <t>Complete rotor assembly weight 173 kg from GA drawing. Includes impeller + shaft + keys + wear rings</t>
        </is>
      </c>
    </row>
    <row r="80" ht="45.75" customHeight="1" s="64" thickBot="1">
      <c r="A80" s="12" t="inlineStr">
        <is>
          <t>SEAL-FLW-001</t>
        </is>
      </c>
      <c r="B80" s="12" t="inlineStr">
        <is>
          <t>Mechanical Seal 300-LNN-600</t>
        </is>
      </c>
      <c r="C80" s="12" t="inlineStr">
        <is>
          <t>MS2425801-SEAL</t>
        </is>
      </c>
      <c r="D80" s="12" t="inlineStr">
        <is>
          <t>Mechanical Seal</t>
        </is>
      </c>
      <c r="E80" s="12" t="inlineStr">
        <is>
          <t>Cartridge Seal</t>
        </is>
      </c>
      <c r="F80" s="12" t="inlineStr">
        <is>
          <t>Flowserve 300-LNN-600</t>
        </is>
      </c>
      <c r="G80" s="12" t="inlineStr">
        <is>
          <t>Flowserve Sanmar</t>
        </is>
      </c>
      <c r="H80" s="12" t="n">
        <v>2</v>
      </c>
      <c r="I80" s="12" t="inlineStr">
        <is>
          <t>EA</t>
        </is>
      </c>
      <c r="J80" s="12" t="inlineStr">
        <is>
          <t>MOC per Flowserve seal drawing</t>
        </is>
      </c>
      <c r="K80" s="12" t="n"/>
      <c r="L80" s="12" t="n">
        <v>60</v>
      </c>
      <c r="M80" s="22" t="inlineStr">
        <is>
          <t>Seal Plan 11 + Plan 62. Plan 62 flush: water 0.5-1.0 LPM @ 1 kg/cm2. Make: Flowserve Sanmar. 2 seals per pump (DE and NDE or DS)</t>
        </is>
      </c>
    </row>
    <row r="81" ht="45.75" customHeight="1" s="64" thickBot="1">
      <c r="A81" s="12" t="inlineStr">
        <is>
          <t>FLG-FLW-001</t>
        </is>
      </c>
      <c r="B81" s="12" t="inlineStr">
        <is>
          <t>Counter Flange Suction 14" PN16 FF</t>
        </is>
      </c>
      <c r="C81" s="12" t="inlineStr">
        <is>
          <t>MS2425801-FLG-S</t>
        </is>
      </c>
      <c r="D81" s="12" t="inlineStr">
        <is>
          <t>Flange</t>
        </is>
      </c>
      <c r="E81" s="12" t="inlineStr">
        <is>
          <t>Counter Flange</t>
        </is>
      </c>
      <c r="F81" s="12" t="inlineStr">
        <is>
          <t>Flowserve 300-LNN-600</t>
        </is>
      </c>
      <c r="G81" s="12" t="inlineStr">
        <is>
          <t>Flowserve Corporation</t>
        </is>
      </c>
      <c r="H81" s="12" t="n">
        <v>1</v>
      </c>
      <c r="I81" s="12" t="inlineStr">
        <is>
          <t>EA</t>
        </is>
      </c>
      <c r="J81" s="12" t="inlineStr">
        <is>
          <t>ASTM A105</t>
        </is>
      </c>
      <c r="K81" s="12" t="n"/>
      <c r="L81" s="12" t="n">
        <v>45</v>
      </c>
      <c r="M81" s="22" t="inlineStr">
        <is>
          <t>Slip-on type, Flat Face, 14" PN16. OD 520mm, BCD 470mm, 16 holes Ø26mm. Surface finish 125-250 AARH. Loose supplied by Flowserve</t>
        </is>
      </c>
    </row>
    <row r="82" ht="45.75" customHeight="1" s="64" thickBot="1">
      <c r="A82" s="12" t="inlineStr">
        <is>
          <t>FLG-FLW-002</t>
        </is>
      </c>
      <c r="B82" s="12" t="inlineStr">
        <is>
          <t>Counter Flange Discharge 12" PN16 FF</t>
        </is>
      </c>
      <c r="C82" s="12" t="inlineStr">
        <is>
          <t>MS2425801-FLG-D</t>
        </is>
      </c>
      <c r="D82" s="12" t="inlineStr">
        <is>
          <t>Flange</t>
        </is>
      </c>
      <c r="E82" s="12" t="inlineStr">
        <is>
          <t>Counter Flange</t>
        </is>
      </c>
      <c r="F82" s="12" t="inlineStr">
        <is>
          <t>Flowserve 300-LNN-600</t>
        </is>
      </c>
      <c r="G82" s="12" t="inlineStr">
        <is>
          <t>Flowserve Corporation</t>
        </is>
      </c>
      <c r="H82" s="12" t="n">
        <v>1</v>
      </c>
      <c r="I82" s="12" t="inlineStr">
        <is>
          <t>EA</t>
        </is>
      </c>
      <c r="J82" s="12" t="inlineStr">
        <is>
          <t>ASTM A105</t>
        </is>
      </c>
      <c r="K82" s="12" t="n"/>
      <c r="L82" s="12" t="n">
        <v>45</v>
      </c>
      <c r="M82" s="22" t="inlineStr">
        <is>
          <t>Slip-on type, Flat Face, 12" PN16. OD 460mm, BCD 410mm, 12 holes Ø26mm, Thk 28mm. Loose supplied by Flowserve</t>
        </is>
      </c>
    </row>
    <row r="83" ht="30.75" customHeight="1" s="64" thickBot="1">
      <c r="A83" s="12" t="inlineStr">
        <is>
          <t>GSK-FLW-001</t>
        </is>
      </c>
      <c r="B83" s="12" t="inlineStr">
        <is>
          <t>Gasket Full Face Non-Asbestos B16.21 3mm</t>
        </is>
      </c>
      <c r="C83" s="12" t="inlineStr">
        <is>
          <t>MS2425801-GSK</t>
        </is>
      </c>
      <c r="D83" s="12" t="inlineStr">
        <is>
          <t>Gasket</t>
        </is>
      </c>
      <c r="E83" s="12" t="inlineStr">
        <is>
          <t>Flat Gasket</t>
        </is>
      </c>
      <c r="F83" s="12" t="inlineStr">
        <is>
          <t>Flowserve 300-LNN-600</t>
        </is>
      </c>
      <c r="G83" s="12" t="inlineStr">
        <is>
          <t>Flowserve Corporation</t>
        </is>
      </c>
      <c r="H83" s="12" t="n">
        <v>2</v>
      </c>
      <c r="I83" s="12" t="inlineStr">
        <is>
          <t>EA</t>
        </is>
      </c>
      <c r="J83" s="12" t="inlineStr">
        <is>
          <t>Non-Asbestos Flat Face</t>
        </is>
      </c>
      <c r="K83" s="12" t="n"/>
      <c r="L83" s="12" t="n">
        <v>30</v>
      </c>
      <c r="M83" s="22" t="inlineStr">
        <is>
          <t>Full face type B16.21 std, 3mm thick. For suction &amp; discharge flanges. Loose supplied by Flowserve</t>
        </is>
      </c>
    </row>
    <row r="84" ht="30.75" customHeight="1" s="64" thickBot="1">
      <c r="A84" s="12" t="inlineStr">
        <is>
          <t>FST-FLW-001</t>
        </is>
      </c>
      <c r="B84" s="12" t="inlineStr">
        <is>
          <t>Flange Stud &amp; Nut Set Suction 14" PN16</t>
        </is>
      </c>
      <c r="C84" s="12" t="inlineStr">
        <is>
          <t>MS2425801-STD-S</t>
        </is>
      </c>
      <c r="D84" s="12" t="inlineStr">
        <is>
          <t>Fasteners</t>
        </is>
      </c>
      <c r="E84" s="12" t="inlineStr">
        <is>
          <t>Stud &amp; Nut</t>
        </is>
      </c>
      <c r="F84" s="12" t="inlineStr">
        <is>
          <t>Flowserve 300-LNN-600</t>
        </is>
      </c>
      <c r="G84" s="12" t="inlineStr">
        <is>
          <t>Flowserve Corporation</t>
        </is>
      </c>
      <c r="H84" s="12" t="n">
        <v>1</v>
      </c>
      <c r="I84" s="12" t="inlineStr">
        <is>
          <t>SET</t>
        </is>
      </c>
      <c r="J84" s="12" t="inlineStr">
        <is>
          <t>ASTM A193 Gr B7 / A194 2H</t>
        </is>
      </c>
      <c r="K84" s="12" t="n"/>
      <c r="L84" s="12" t="n">
        <v>30</v>
      </c>
      <c r="M84" s="22" t="inlineStr">
        <is>
          <t>16 studs ASTM A193 Gr B7 + nuts ASTM A194 2H. Loose supplied by Flowserve</t>
        </is>
      </c>
    </row>
    <row r="85" ht="30.75" customHeight="1" s="64" thickBot="1">
      <c r="A85" s="12" t="inlineStr">
        <is>
          <t>FST-FLW-002</t>
        </is>
      </c>
      <c r="B85" s="12" t="inlineStr">
        <is>
          <t>Flange Stud &amp; Nut Set Discharge 12" PN16</t>
        </is>
      </c>
      <c r="C85" s="12" t="inlineStr">
        <is>
          <t>MS2425801-STD-D</t>
        </is>
      </c>
      <c r="D85" s="12" t="inlineStr">
        <is>
          <t>Fasteners</t>
        </is>
      </c>
      <c r="E85" s="12" t="inlineStr">
        <is>
          <t>Stud &amp; Nut</t>
        </is>
      </c>
      <c r="F85" s="12" t="inlineStr">
        <is>
          <t>Flowserve 300-LNN-600</t>
        </is>
      </c>
      <c r="G85" s="12" t="inlineStr">
        <is>
          <t>Flowserve Corporation</t>
        </is>
      </c>
      <c r="H85" s="12" t="n">
        <v>1</v>
      </c>
      <c r="I85" s="12" t="inlineStr">
        <is>
          <t>SET</t>
        </is>
      </c>
      <c r="J85" s="12" t="inlineStr">
        <is>
          <t>ASTM A193 Gr B7 / A194 2H</t>
        </is>
      </c>
      <c r="K85" s="12" t="n"/>
      <c r="L85" s="12" t="n">
        <v>30</v>
      </c>
      <c r="M85" s="22" t="inlineStr">
        <is>
          <t>12 studs ASTM A193 Gr B7 + nuts ASTM A194 2H. Loose supplied by Flowserve</t>
        </is>
      </c>
    </row>
    <row r="86" ht="45.75" customHeight="1" s="64" thickBot="1">
      <c r="A86" s="12" t="inlineStr">
        <is>
          <t>CPL-FLW-001</t>
        </is>
      </c>
      <c r="B86" s="12" t="inlineStr">
        <is>
          <t>Coupling Spacer Tyre Type 300-LNN-600</t>
        </is>
      </c>
      <c r="C86" s="12" t="inlineStr">
        <is>
          <t>MS2425801-CPL</t>
        </is>
      </c>
      <c r="D86" s="12" t="inlineStr">
        <is>
          <t>Coupling</t>
        </is>
      </c>
      <c r="E86" s="12" t="inlineStr">
        <is>
          <t>Spacer Tyre</t>
        </is>
      </c>
      <c r="F86" s="12" t="inlineStr">
        <is>
          <t>Flowserve 300-LNN-600</t>
        </is>
      </c>
      <c r="G86" s="12" t="inlineStr">
        <is>
          <t>Rathi Couplings</t>
        </is>
      </c>
      <c r="H86" s="12" t="n">
        <v>1</v>
      </c>
      <c r="I86" s="12" t="inlineStr">
        <is>
          <t>EA</t>
        </is>
      </c>
      <c r="J86" s="12" t="inlineStr">
        <is>
          <t>Steel + Rubber Element</t>
        </is>
      </c>
      <c r="K86" s="12" t="n">
        <v>50</v>
      </c>
      <c r="L86" s="12" t="n">
        <v>45</v>
      </c>
      <c r="M86" s="22" t="inlineStr">
        <is>
          <t>DBSE=250mm. Make: Rathi. Type: Spacer Tyre. Weight 50 kg from GA. Non-sparking aluminum coupling guard supplied by Flowserve</t>
        </is>
      </c>
    </row>
    <row r="87" ht="30.75" customHeight="1" s="64" thickBot="1">
      <c r="A87" s="12" t="inlineStr">
        <is>
          <t>GRD-FLW-001</t>
        </is>
      </c>
      <c r="B87" s="12" t="inlineStr">
        <is>
          <t>Coupling Guard Non-Sparking Aluminum</t>
        </is>
      </c>
      <c r="C87" s="12" t="inlineStr">
        <is>
          <t>MS2425801-GRD</t>
        </is>
      </c>
      <c r="D87" s="12" t="inlineStr">
        <is>
          <t>Guard</t>
        </is>
      </c>
      <c r="E87" s="12" t="inlineStr">
        <is>
          <t>Coupling Guard</t>
        </is>
      </c>
      <c r="F87" s="12" t="inlineStr">
        <is>
          <t>Flowserve 300-LNN-600</t>
        </is>
      </c>
      <c r="G87" s="12" t="inlineStr">
        <is>
          <t>Flowserve Corporation</t>
        </is>
      </c>
      <c r="H87" s="12" t="n">
        <v>1</v>
      </c>
      <c r="I87" s="12" t="inlineStr">
        <is>
          <t>EA</t>
        </is>
      </c>
      <c r="J87" s="12" t="inlineStr">
        <is>
          <t>Aluminum (Non-Sparking)</t>
        </is>
      </c>
      <c r="K87" s="12" t="n"/>
      <c r="L87" s="12" t="n">
        <v>45</v>
      </c>
      <c r="M87" s="22" t="inlineStr">
        <is>
          <t>Non-sparking aluminum coupling guard. Part of scope of supply: Flowserve Flowtech</t>
        </is>
      </c>
    </row>
    <row r="88" ht="105.75" customHeight="1" s="64" thickBot="1">
      <c r="A88" s="12" t="inlineStr">
        <is>
          <t>MOT-FLW-001</t>
        </is>
      </c>
      <c r="B88" s="12" t="inlineStr">
        <is>
          <t>Motor CGL 550kW 690V 4-Pole VFD NG450</t>
        </is>
      </c>
      <c r="C88" s="12" t="inlineStr">
        <is>
          <t>CGL-2241805</t>
        </is>
      </c>
      <c r="D88" s="12" t="inlineStr">
        <is>
          <t>Motor</t>
        </is>
      </c>
      <c r="E88" s="12" t="inlineStr">
        <is>
          <t>HV Induction Motor</t>
        </is>
      </c>
      <c r="F88" s="12" t="inlineStr">
        <is>
          <t>Flowserve 300-LNN-600</t>
        </is>
      </c>
      <c r="G88" s="12" t="inlineStr">
        <is>
          <t>Crompton Greaves (CGL)</t>
        </is>
      </c>
      <c r="H88" s="12" t="n">
        <v>1</v>
      </c>
      <c r="I88" s="12" t="inlineStr">
        <is>
          <t>EA</t>
        </is>
      </c>
      <c r="J88" s="12" t="inlineStr">
        <is>
          <t>Standard motor construction</t>
        </is>
      </c>
      <c r="K88" s="12" t="n">
        <v>5300</v>
      </c>
      <c r="L88" s="12" t="n">
        <v>60</v>
      </c>
      <c r="M88" s="22" t="inlineStr">
        <is>
          <t>Make: CGL (Crompton Greaves Ltd). Rating: 550kW, 690V/3Ph/50Hz, 4-Pole, VFD driven. Frame: NG450. IC411 cooling. Speed range: 1143-1233 rpm. Work order 2241805. Motor enclosed in acoustic enclosure. 10% derating considered for 50°C ambient / 900m altitude. Efficiency ~94-95.5% at 60-100% load. PF ~0.27-0.87. LRC: 600% FLC. Starting time @100%V: 3sec</t>
        </is>
      </c>
    </row>
    <row r="89" ht="105.75" customHeight="1" s="64" thickBot="1">
      <c r="A89" s="12" t="inlineStr">
        <is>
          <t>ENC-FLW-001</t>
        </is>
      </c>
      <c r="B89" s="12" t="inlineStr">
        <is>
          <t>Acoustic Enclosure for Motor 300-LNN-600</t>
        </is>
      </c>
      <c r="C89" s="12" t="inlineStr">
        <is>
          <t>ARK-ENC-2241805</t>
        </is>
      </c>
      <c r="D89" s="12" t="inlineStr">
        <is>
          <t>Enclosure</t>
        </is>
      </c>
      <c r="E89" s="12" t="inlineStr">
        <is>
          <t>Acoustic Enclosure</t>
        </is>
      </c>
      <c r="F89" s="12" t="inlineStr">
        <is>
          <t>Flowserve 300-LNN-600</t>
        </is>
      </c>
      <c r="G89" s="12" t="inlineStr">
        <is>
          <t>ARK Acoustics</t>
        </is>
      </c>
      <c r="H89" s="12" t="n">
        <v>1</v>
      </c>
      <c r="I89" s="12" t="inlineStr">
        <is>
          <t>EA</t>
        </is>
      </c>
      <c r="J89" s="12" t="inlineStr">
        <is>
          <t>Steel Modular Panels</t>
        </is>
      </c>
      <c r="K89" s="12" t="n">
        <v>2350</v>
      </c>
      <c r="L89" s="12" t="n">
        <v>90</v>
      </c>
      <c r="M89" s="22" t="inlineStr">
        <is>
          <t>Weight 2350 kg. Noise limit: 85 dBA combined. Modular panel design - selectively removable panels. Ceiling light provided. Roof slopes west for rainwater drainage. Air intake on 3 sides + exhaust duct. Clearance motor to enclosure top min 600mm. Coupling opening on enclosure. Loose supplied to site to avoid transport damage</t>
        </is>
      </c>
    </row>
    <row r="90" ht="90.75" customHeight="1" s="64" thickBot="1">
      <c r="A90" s="12" t="inlineStr">
        <is>
          <t>BPL-FLW-001</t>
        </is>
      </c>
      <c r="B90" s="12" t="inlineStr">
        <is>
          <t>Baseplate IS2062 Drain Pan Type 300-LNN-600</t>
        </is>
      </c>
      <c r="C90" s="12" t="inlineStr">
        <is>
          <t>MS2425801-BP</t>
        </is>
      </c>
      <c r="D90" s="12" t="inlineStr">
        <is>
          <t>Baseplate</t>
        </is>
      </c>
      <c r="E90" s="12" t="inlineStr">
        <is>
          <t>Common Baseplate</t>
        </is>
      </c>
      <c r="F90" s="12" t="inlineStr">
        <is>
          <t>Flowserve 300-LNN-600</t>
        </is>
      </c>
      <c r="G90" s="12" t="inlineStr">
        <is>
          <t>Flowserve Corporation</t>
        </is>
      </c>
      <c r="H90" s="12" t="n">
        <v>1</v>
      </c>
      <c r="I90" s="12" t="inlineStr">
        <is>
          <t>EA</t>
        </is>
      </c>
      <c r="J90" s="12" t="inlineStr">
        <is>
          <t>IS 2062 Mild Steel</t>
        </is>
      </c>
      <c r="K90" s="12" t="n">
        <v>3250</v>
      </c>
      <c r="L90" s="12" t="n">
        <v>60</v>
      </c>
      <c r="M90" s="22" t="inlineStr">
        <is>
          <t>Weight 3250 kg. Drain pan + grouted type. Length 4800mm. 14 Nos M20 jacking bolts. 14 Nos Ø25 holes for foundation bolts (M20, HDG mild steel). 8 Nos motor alignment bolts. Grout: Shrinkkomp-30 or Fosroc Conbextra-GP2 (high strength non-shrink). API 610 Annex D tolerances</t>
        </is>
      </c>
    </row>
    <row r="91" ht="45.75" customHeight="1" s="64" thickBot="1">
      <c r="A91" s="12" t="inlineStr">
        <is>
          <t>FBL-FLW-001</t>
        </is>
      </c>
      <c r="B91" s="12" t="inlineStr">
        <is>
          <t>Foundation Bolt Set 3/4" HDG MS</t>
        </is>
      </c>
      <c r="C91" s="12" t="inlineStr">
        <is>
          <t>MS2425801-FB</t>
        </is>
      </c>
      <c r="D91" s="12" t="inlineStr">
        <is>
          <t>Foundation</t>
        </is>
      </c>
      <c r="E91" s="12" t="inlineStr">
        <is>
          <t>Foundation Bolts</t>
        </is>
      </c>
      <c r="F91" s="12" t="inlineStr">
        <is>
          <t>Flowserve 300-LNN-600</t>
        </is>
      </c>
      <c r="G91" s="12" t="inlineStr">
        <is>
          <t>Flowserve Corporation</t>
        </is>
      </c>
      <c r="H91" s="12" t="n">
        <v>14</v>
      </c>
      <c r="I91" s="12" t="inlineStr">
        <is>
          <t>EA</t>
        </is>
      </c>
      <c r="J91" s="12" t="inlineStr">
        <is>
          <t>Mild Steel with HDG</t>
        </is>
      </c>
      <c r="K91" s="12" t="n"/>
      <c r="L91" s="12" t="n">
        <v>30</v>
      </c>
      <c r="M91" s="22" t="inlineStr">
        <is>
          <t>14 Nos. Dia 3/4". Material: Mild Steel with Hot Dip Galvanizing. Primary concrete embedding type with loose washer. Flowserve scope of supply</t>
        </is>
      </c>
    </row>
    <row r="92" ht="60.75" customHeight="1" s="64" thickBot="1">
      <c r="A92" s="12" t="inlineStr">
        <is>
          <t>PIP-FLW-001</t>
        </is>
      </c>
      <c r="B92" s="12" t="inlineStr">
        <is>
          <t>Plan 11 Piping Assembly</t>
        </is>
      </c>
      <c r="C92" s="12" t="inlineStr">
        <is>
          <t>MS2425801-P11</t>
        </is>
      </c>
      <c r="D92" s="12" t="inlineStr">
        <is>
          <t>Piping</t>
        </is>
      </c>
      <c r="E92" s="12" t="inlineStr">
        <is>
          <t>Seal Flush Piping</t>
        </is>
      </c>
      <c r="F92" s="12" t="inlineStr">
        <is>
          <t>Flowserve 300-LNN-600</t>
        </is>
      </c>
      <c r="G92" s="12" t="inlineStr">
        <is>
          <t>Flowserve Corporation</t>
        </is>
      </c>
      <c r="H92" s="12" t="n">
        <v>1</v>
      </c>
      <c r="I92" s="12" t="inlineStr">
        <is>
          <t>SET</t>
        </is>
      </c>
      <c r="J92" s="12" t="inlineStr">
        <is>
          <t>ASTM A106 Gr B / A312 Gr 316L / A182 F316L</t>
        </is>
      </c>
      <c r="K92" s="12" t="n"/>
      <c r="L92" s="12" t="n">
        <v>45</v>
      </c>
      <c r="M92" s="22" t="inlineStr">
        <is>
          <t>Plan 11 piping: 1/2" Sch 80 pipe (A106 Gr B), SS316L pipe (A312 Gr 316L), nipples, SWRF flanges (A105/A182 F316L), orifice plate (A240 Gr 316L). Connects casing (N1) to seal (N2)</t>
        </is>
      </c>
    </row>
    <row r="93" ht="75.75" customHeight="1" s="64">
      <c r="A93" s="38" t="inlineStr">
        <is>
          <t>ASM-FLW-001</t>
        </is>
      </c>
      <c r="B93" s="38" t="inlineStr">
        <is>
          <t>Complete Pump Package 300-LNN-600</t>
        </is>
      </c>
      <c r="C93" s="38" t="inlineStr">
        <is>
          <t>MS2425801-PKG</t>
        </is>
      </c>
      <c r="D93" s="38" t="inlineStr">
        <is>
          <t>Assembly</t>
        </is>
      </c>
      <c r="E93" s="38" t="inlineStr">
        <is>
          <t>Complete Package</t>
        </is>
      </c>
      <c r="F93" s="38" t="inlineStr">
        <is>
          <t>Flowserve 300-LNN-600</t>
        </is>
      </c>
      <c r="G93" s="38" t="inlineStr">
        <is>
          <t>Flowserve Corporation</t>
        </is>
      </c>
      <c r="H93" s="38" t="n">
        <v>1</v>
      </c>
      <c r="I93" s="38" t="inlineStr">
        <is>
          <t>PKG</t>
        </is>
      </c>
      <c r="J93" s="38" t="inlineStr">
        <is>
          <t>Various</t>
        </is>
      </c>
      <c r="K93" s="38" t="n">
        <v>12160</v>
      </c>
      <c r="L93" s="38" t="n"/>
      <c r="M93" s="39" t="inlineStr">
        <is>
          <t>Total package weight ~12160 kg: Pump 1160 + Motor 5300 + Baseplate 3250 + Coupling 50 + Accessories 50 + Enclosure 2350. Scope: Bare pump + Mech seal + Coupling &amp; guard + Motor &amp; enclosure + Foundation bolts. Doc: MS2425801_001-68132-01 Rev 3</t>
        </is>
      </c>
    </row>
    <row r="94">
      <c r="A94" s="37" t="inlineStr">
        <is>
          <t>PUMP-WILO-GSN-T</t>
        </is>
      </c>
      <c r="B94" s="37" t="inlineStr">
        <is>
          <t>Pump Assembly - Wilo 150-200-GSN 2-Stage (Taljhari)</t>
        </is>
      </c>
      <c r="C94" s="37" t="inlineStr">
        <is>
          <t>GSN150-MC/12-P4-0-1480</t>
        </is>
      </c>
      <c r="D94" s="37" t="inlineStr">
        <is>
          <t>Pump</t>
        </is>
      </c>
      <c r="E94" s="37" t="inlineStr">
        <is>
          <t>Centrifugal Horizontal HSC</t>
        </is>
      </c>
      <c r="F94" s="37" t="inlineStr">
        <is>
          <t>Wilo 150-200-GSN (Taljhari)</t>
        </is>
      </c>
      <c r="G94" s="37" t="inlineStr">
        <is>
          <t>Wilo Mather &amp; Platt Pumps Pvt Ltd</t>
        </is>
      </c>
      <c r="H94" s="37" t="n">
        <v>1</v>
      </c>
      <c r="I94" s="37" t="inlineStr">
        <is>
          <t>EA</t>
        </is>
      </c>
      <c r="J94" s="37" t="inlineStr">
        <is>
          <t>Various (See Components)</t>
        </is>
      </c>
      <c r="K94" s="37" t="n">
        <v>2175</v>
      </c>
      <c r="L94" s="37" t="n"/>
      <c r="M94" s="37" t="inlineStr">
        <is>
          <t>Taljhari ESR; 2-stage; Q=5060 LPM / 303.6 m3/h; H=150m; Speed=1489rpm; Eff=75.77%; Input=163.68kW; Motor=200kW; NPSHR=4.57m; Shutoff=171m; Min Cont Flow=1750 LPM; Total static load=2175 kg; IS 6595</t>
        </is>
      </c>
    </row>
    <row r="95">
      <c r="A95" s="37" t="inlineStr">
        <is>
          <t>CAS-WILO-GSN-001</t>
        </is>
      </c>
      <c r="B95" s="37" t="inlineStr">
        <is>
          <t>Pump Casing Top Half 150-200-GSN</t>
        </is>
      </c>
      <c r="C95" s="37" t="n"/>
      <c r="D95" s="37" t="inlineStr">
        <is>
          <t>Casing</t>
        </is>
      </c>
      <c r="E95" s="37" t="inlineStr">
        <is>
          <t>Upper Casing</t>
        </is>
      </c>
      <c r="F95" s="37" t="inlineStr">
        <is>
          <t>Wilo 150-200-GSN (Taljhari)</t>
        </is>
      </c>
      <c r="G95" s="37" t="inlineStr">
        <is>
          <t>Wilo Mather &amp; Platt Pumps Pvt Ltd</t>
        </is>
      </c>
      <c r="H95" s="37" t="n">
        <v>1</v>
      </c>
      <c r="I95" s="37" t="inlineStr">
        <is>
          <t>EA</t>
        </is>
      </c>
      <c r="J95" s="37" t="inlineStr">
        <is>
          <t>CI IS 210 Gr FG 260</t>
        </is>
      </c>
      <c r="K95" s="37" t="n"/>
      <c r="L95" s="37" t="n"/>
      <c r="M95" s="37" t="inlineStr">
        <is>
          <t>Axial split (horizontal split) casing; single volute; foot mount; Suction 200mm / Discharge 150mm; ANSI 125/150 FF flange drilling</t>
        </is>
      </c>
    </row>
    <row r="96">
      <c r="A96" s="37" t="inlineStr">
        <is>
          <t>CAS-WILO-GSN-002</t>
        </is>
      </c>
      <c r="B96" s="37" t="inlineStr">
        <is>
          <t>Pump Casing Bottom Half 150-200-GSN</t>
        </is>
      </c>
      <c r="C96" s="37" t="n"/>
      <c r="D96" s="37" t="inlineStr">
        <is>
          <t>Casing</t>
        </is>
      </c>
      <c r="E96" s="37" t="inlineStr">
        <is>
          <t>Lower Casing</t>
        </is>
      </c>
      <c r="F96" s="37" t="inlineStr">
        <is>
          <t>Wilo 150-200-GSN (Taljhari)</t>
        </is>
      </c>
      <c r="G96" s="37" t="inlineStr">
        <is>
          <t>Wilo Mather &amp; Platt Pumps Pvt Ltd</t>
        </is>
      </c>
      <c r="H96" s="37" t="n">
        <v>1</v>
      </c>
      <c r="I96" s="37" t="inlineStr">
        <is>
          <t>EA</t>
        </is>
      </c>
      <c r="J96" s="37" t="inlineStr">
        <is>
          <t>CI IS 210 Gr FG 260</t>
        </is>
      </c>
      <c r="K96" s="37" t="n"/>
      <c r="L96" s="37" t="n"/>
      <c r="M96" s="37" t="inlineStr">
        <is>
          <t>Bottom half of axial split casing; includes inter-stage collar CI and inter-stage ring CI</t>
        </is>
      </c>
    </row>
    <row r="97">
      <c r="A97" s="37" t="inlineStr">
        <is>
          <t>IMP-WILO-GSN-001</t>
        </is>
      </c>
      <c r="B97" s="37" t="inlineStr">
        <is>
          <t>Impeller 1st Stage (RH) 150-200-GSN</t>
        </is>
      </c>
      <c r="C97" s="37" t="n"/>
      <c r="D97" s="37" t="inlineStr">
        <is>
          <t>Impeller</t>
        </is>
      </c>
      <c r="E97" s="37" t="inlineStr">
        <is>
          <t>Closed Impeller</t>
        </is>
      </c>
      <c r="F97" s="37" t="inlineStr">
        <is>
          <t>Wilo 150-200-GSN (Taljhari)</t>
        </is>
      </c>
      <c r="G97" s="37" t="inlineStr">
        <is>
          <t>Wilo Mather &amp; Platt Pumps Pvt Ltd</t>
        </is>
      </c>
      <c r="H97" s="37" t="n">
        <v>1</v>
      </c>
      <c r="I97" s="37" t="inlineStr">
        <is>
          <t>EA</t>
        </is>
      </c>
      <c r="J97" s="37" t="inlineStr">
        <is>
          <t>Bronze LTB5 IS:318</t>
        </is>
      </c>
      <c r="K97" s="37" t="n"/>
      <c r="L97" s="37" t="n"/>
      <c r="M97" s="37" t="inlineStr">
        <is>
          <t>Item 1503 from cross section; 1st stage RH impeller; closed type; shaft mounted; max dia rated impeller</t>
        </is>
      </c>
    </row>
    <row r="98">
      <c r="A98" s="37" t="inlineStr">
        <is>
          <t>IMP-WILO-GSN-002</t>
        </is>
      </c>
      <c r="B98" s="37" t="inlineStr">
        <is>
          <t>Impeller 2nd Stage (LH) 150-200-GSN</t>
        </is>
      </c>
      <c r="C98" s="37" t="n"/>
      <c r="D98" s="37" t="inlineStr">
        <is>
          <t>Impeller</t>
        </is>
      </c>
      <c r="E98" s="37" t="inlineStr">
        <is>
          <t>Closed Impeller</t>
        </is>
      </c>
      <c r="F98" s="37" t="inlineStr">
        <is>
          <t>Wilo 150-200-GSN (Taljhari)</t>
        </is>
      </c>
      <c r="G98" s="37" t="inlineStr">
        <is>
          <t>Wilo Mather &amp; Platt Pumps Pvt Ltd</t>
        </is>
      </c>
      <c r="H98" s="37" t="n">
        <v>1</v>
      </c>
      <c r="I98" s="37" t="inlineStr">
        <is>
          <t>EA</t>
        </is>
      </c>
      <c r="J98" s="37" t="inlineStr">
        <is>
          <t>Bronze LTB5 IS:318 + Coating</t>
        </is>
      </c>
      <c r="K98" s="37" t="n"/>
      <c r="L98" s="37" t="n"/>
      <c r="M98" s="37" t="inlineStr">
        <is>
          <t>Item 1504 from cross section; 2nd stage LH impeller; LTB5 with coating; 2-stage pump</t>
        </is>
      </c>
    </row>
    <row r="99">
      <c r="A99" s="37" t="inlineStr">
        <is>
          <t>SHAFT-WILO-GSN</t>
        </is>
      </c>
      <c r="B99" s="37" t="inlineStr">
        <is>
          <t>Pump Shaft 150-200-GSN</t>
        </is>
      </c>
      <c r="C99" s="37" t="n"/>
      <c r="D99" s="37" t="inlineStr">
        <is>
          <t>Shaft</t>
        </is>
      </c>
      <c r="E99" s="37" t="inlineStr">
        <is>
          <t>Pump Shaft</t>
        </is>
      </c>
      <c r="F99" s="37" t="inlineStr">
        <is>
          <t>Wilo 150-200-GSN (Taljhari)</t>
        </is>
      </c>
      <c r="G99" s="37" t="inlineStr">
        <is>
          <t>Wilo Mather &amp; Platt Pumps Pvt Ltd</t>
        </is>
      </c>
      <c r="H99" s="37" t="n">
        <v>1</v>
      </c>
      <c r="I99" s="37" t="inlineStr">
        <is>
          <t>EA</t>
        </is>
      </c>
      <c r="J99" s="37" t="inlineStr">
        <is>
          <t>SS410 ASTM A276 Gr 410</t>
        </is>
      </c>
      <c r="K99" s="37" t="n"/>
      <c r="L99" s="37" t="n"/>
      <c r="M99" s="37" t="inlineStr">
        <is>
          <t>Item 1800 from cross section; solid shaft; shaft dia at coupling=90mm; CCW rotation from impeller end</t>
        </is>
      </c>
    </row>
    <row r="100">
      <c r="A100" s="37" t="inlineStr">
        <is>
          <t>SLEVE-WILO-GSN</t>
        </is>
      </c>
      <c r="B100" s="37" t="inlineStr">
        <is>
          <t>Shaft Sleeve 150-200-GSN</t>
        </is>
      </c>
      <c r="C100" s="37" t="n"/>
      <c r="D100" s="37" t="inlineStr">
        <is>
          <t>Sleeve</t>
        </is>
      </c>
      <c r="E100" s="37" t="inlineStr">
        <is>
          <t>Shaft Sleeve</t>
        </is>
      </c>
      <c r="F100" s="37" t="inlineStr">
        <is>
          <t>Wilo 150-200-GSN (Taljhari)</t>
        </is>
      </c>
      <c r="G100" s="37" t="inlineStr">
        <is>
          <t>Wilo Mather &amp; Platt Pumps Pvt Ltd</t>
        </is>
      </c>
      <c r="H100" s="37" t="n">
        <v>2</v>
      </c>
      <c r="I100" s="37" t="inlineStr">
        <is>
          <t>EA</t>
        </is>
      </c>
      <c r="J100" s="37" t="inlineStr">
        <is>
          <t>SS410 ASTM A276 Gr 410</t>
        </is>
      </c>
      <c r="K100" s="37" t="n"/>
      <c r="L100" s="37" t="n"/>
      <c r="M100" s="37" t="inlineStr">
        <is>
          <t>Item 2100 from cross section; 2 nos; shaft sleeve under gland packing</t>
        </is>
      </c>
    </row>
    <row r="101">
      <c r="A101" s="37" t="inlineStr">
        <is>
          <t>SEAL-WILO-GSN</t>
        </is>
      </c>
      <c r="B101" s="37" t="inlineStr">
        <is>
          <t>Gland Packing (Stuffing Box) 150-200-GSN</t>
        </is>
      </c>
      <c r="C101" s="37" t="n"/>
      <c r="D101" s="37" t="inlineStr">
        <is>
          <t>Seal</t>
        </is>
      </c>
      <c r="E101" s="37" t="inlineStr">
        <is>
          <t>Gland Packing</t>
        </is>
      </c>
      <c r="F101" s="37" t="inlineStr">
        <is>
          <t>Wilo 150-200-GSN (Taljhari)</t>
        </is>
      </c>
      <c r="G101" s="37" t="inlineStr">
        <is>
          <t>Wilo Mather &amp; Platt Pumps Pvt Ltd</t>
        </is>
      </c>
      <c r="H101" s="37" t="n">
        <v>1</v>
      </c>
      <c r="I101" s="37" t="inlineStr">
        <is>
          <t>SET</t>
        </is>
      </c>
      <c r="J101" s="37" t="inlineStr">
        <is>
          <t>Graphited Cotton</t>
        </is>
      </c>
      <c r="K101" s="37" t="n"/>
      <c r="L101" s="37" t="n"/>
      <c r="M101" s="37" t="inlineStr">
        <is>
          <t>Item 2410 from cross section; standard gland packing; stuffing box CI (item 2404); gland CI (item 2310); lantern ring GFN (item 2300)</t>
        </is>
      </c>
    </row>
    <row r="102">
      <c r="A102" s="37" t="inlineStr">
        <is>
          <t>BRG-WILO-GSN</t>
        </is>
      </c>
      <c r="B102" s="37" t="inlineStr">
        <is>
          <t>Deep Groove Ball Bearing 6311 ZZ 150-200-GSN</t>
        </is>
      </c>
      <c r="C102" s="37" t="inlineStr">
        <is>
          <t>6311 ZZ</t>
        </is>
      </c>
      <c r="D102" s="37" t="inlineStr">
        <is>
          <t>Bearing</t>
        </is>
      </c>
      <c r="E102" s="37" t="inlineStr">
        <is>
          <t>Radial Ball Bearing</t>
        </is>
      </c>
      <c r="F102" s="37" t="inlineStr">
        <is>
          <t>Wilo 150-200-GSN (Taljhari)</t>
        </is>
      </c>
      <c r="G102" s="37" t="inlineStr">
        <is>
          <t>Wilo Mather &amp; Platt Pumps Pvt Ltd</t>
        </is>
      </c>
      <c r="H102" s="37" t="n">
        <v>2</v>
      </c>
      <c r="I102" s="37" t="inlineStr">
        <is>
          <t>EA</t>
        </is>
      </c>
      <c r="J102" s="37" t="inlineStr">
        <is>
          <t>Steel</t>
        </is>
      </c>
      <c r="K102" s="37" t="n"/>
      <c r="L102" s="37" t="n"/>
      <c r="M102" s="37" t="inlineStr">
        <is>
          <t>Item 2600 from cross section; 2 nos per pump; grease lubricated; bearing housing CI</t>
        </is>
      </c>
    </row>
    <row r="103">
      <c r="A103" s="37" t="inlineStr">
        <is>
          <t>WRNG-WILO-GSN</t>
        </is>
      </c>
      <c r="B103" s="37" t="inlineStr">
        <is>
          <t>Casing Wear Ring / Neck Ring 150-200-GSN</t>
        </is>
      </c>
      <c r="C103" s="37" t="n"/>
      <c r="D103" s="37" t="inlineStr">
        <is>
          <t>Wear Ring</t>
        </is>
      </c>
      <c r="E103" s="37" t="inlineStr">
        <is>
          <t>Casing Wear Ring</t>
        </is>
      </c>
      <c r="F103" s="37" t="inlineStr">
        <is>
          <t>Wilo 150-200-GSN (Taljhari)</t>
        </is>
      </c>
      <c r="G103" s="37" t="inlineStr">
        <is>
          <t>Wilo Mather &amp; Platt Pumps Pvt Ltd</t>
        </is>
      </c>
      <c r="H103" s="37" t="n">
        <v>2</v>
      </c>
      <c r="I103" s="37" t="inlineStr">
        <is>
          <t>EA</t>
        </is>
      </c>
      <c r="J103" s="37" t="inlineStr">
        <is>
          <t>Bronze LTB5 IS:318</t>
        </is>
      </c>
      <c r="K103" s="37" t="n"/>
      <c r="L103" s="37" t="n"/>
      <c r="M103" s="37" t="inlineStr">
        <is>
          <t>Item 1181 neck ring from cross section; 2 nos; LTB5 bronze; casing wear rings</t>
        </is>
      </c>
    </row>
    <row r="104">
      <c r="A104" s="37" t="inlineStr">
        <is>
          <t>MOT-KECL-200</t>
        </is>
      </c>
      <c r="B104" s="37" t="inlineStr">
        <is>
          <t>Motor Kirloskar 200kW SA315M 415V Star-Delta</t>
        </is>
      </c>
      <c r="C104" s="37" t="inlineStr">
        <is>
          <t>32210424</t>
        </is>
      </c>
      <c r="D104" s="37" t="inlineStr">
        <is>
          <t>Motor</t>
        </is>
      </c>
      <c r="E104" s="37" t="inlineStr">
        <is>
          <t>LT Induction Motor</t>
        </is>
      </c>
      <c r="F104" s="37" t="inlineStr">
        <is>
          <t>Wilo 150-200-GSN (Taljhari)</t>
        </is>
      </c>
      <c r="G104" s="37" t="inlineStr">
        <is>
          <t>Kirloskar Electric Company Ltd</t>
        </is>
      </c>
      <c r="H104" s="37" t="n">
        <v>1</v>
      </c>
      <c r="I104" s="37" t="inlineStr">
        <is>
          <t>EA</t>
        </is>
      </c>
      <c r="J104" s="37" t="inlineStr">
        <is>
          <t>Cast Iron Frame</t>
        </is>
      </c>
      <c r="K104" s="37" t="n">
        <v>1350</v>
      </c>
      <c r="L104" s="37" t="n"/>
      <c r="M104" s="37" t="inlineStr">
        <is>
          <t>KECL frame SA315M; 200kW; 415V±10% / 3Ph / 50Hz; 4-pole / 1500 rpm sync; Full load: 1484 rpm / 332A; IC01 cooling; IP23; Insul Class F / Temp rise limited to B; S1 duty; GD²=30 kgm²; PF full=0.90 / 3/4=0.89 / 1/2=0.84; Eff full=94% / 3/4=92.5% / 1/2=88%; LRC=6x DOL / 2x Y-Δ; Stall time cold/hot DOL: 89s/44s; DE brg 6319C3; NDE brg 6315C3; Paint RAL5010; Cable 2R x 3C x 240mm²; Star-Delta starter</t>
        </is>
      </c>
    </row>
    <row r="105">
      <c r="A105" s="37" t="inlineStr">
        <is>
          <t>BASE-WILO-GSN</t>
        </is>
      </c>
      <c r="B105" s="37" t="inlineStr">
        <is>
          <t>Baseplate / Common Base Frame 150-200-GSN</t>
        </is>
      </c>
      <c r="C105" s="37" t="n"/>
      <c r="D105" s="37" t="inlineStr">
        <is>
          <t>Baseplate</t>
        </is>
      </c>
      <c r="E105" s="37" t="inlineStr">
        <is>
          <t>Common Baseplate</t>
        </is>
      </c>
      <c r="F105" s="37" t="inlineStr">
        <is>
          <t>Wilo 150-200-GSN (Taljhari)</t>
        </is>
      </c>
      <c r="G105" s="37" t="inlineStr">
        <is>
          <t>Wilo Mather &amp; Platt Pumps Pvt Ltd</t>
        </is>
      </c>
      <c r="H105" s="37" t="n">
        <v>1</v>
      </c>
      <c r="I105" s="37" t="inlineStr">
        <is>
          <t>EA</t>
        </is>
      </c>
      <c r="J105" s="37" t="inlineStr">
        <is>
          <t>MS Fabricated</t>
        </is>
      </c>
      <c r="K105" s="37" t="n"/>
      <c r="L105" s="37" t="n"/>
      <c r="M105" s="37" t="inlineStr">
        <is>
          <t>Common base for pump + motor; baseplate length per GAD; ANSI 125/150 FF flange connections</t>
        </is>
      </c>
    </row>
    <row r="106">
      <c r="A106" s="37" t="inlineStr">
        <is>
          <t>ASM-WILO-GSN-T</t>
        </is>
      </c>
      <c r="B106" s="37" t="inlineStr">
        <is>
          <t>Complete Pump Package 150-200-GSN (Taljhari)</t>
        </is>
      </c>
      <c r="C106" s="37" t="inlineStr">
        <is>
          <t>81343152/11</t>
        </is>
      </c>
      <c r="D106" s="37" t="inlineStr">
        <is>
          <t>Assembly</t>
        </is>
      </c>
      <c r="E106" s="37" t="inlineStr">
        <is>
          <t>Complete Package</t>
        </is>
      </c>
      <c r="F106" s="37" t="inlineStr">
        <is>
          <t>Wilo 150-200-GSN (Taljhari)</t>
        </is>
      </c>
      <c r="G106" s="37" t="inlineStr">
        <is>
          <t>Wilo Mather &amp; Platt Pumps Pvt Ltd</t>
        </is>
      </c>
      <c r="H106" s="37" t="n">
        <v>1</v>
      </c>
      <c r="I106" s="37" t="inlineStr">
        <is>
          <t>PKG</t>
        </is>
      </c>
      <c r="J106" s="37" t="inlineStr">
        <is>
          <t>Various</t>
        </is>
      </c>
      <c r="K106" s="37" t="n">
        <v>2175</v>
      </c>
      <c r="L106" s="37" t="n"/>
      <c r="M106" s="37" t="inlineStr">
        <is>
          <t>Total static weight 2175 kg; Pump + motor package; Qty 2 pumps for Taljhari ESR; Customer: Sudhakara Infratech; End Customer: DW&amp;S Div Sahibganj; IS 6595</t>
        </is>
      </c>
    </row>
    <row r="107">
      <c r="A107" s="37" t="inlineStr">
        <is>
          <t>PUMP-WILO-GSN-B</t>
        </is>
      </c>
      <c r="B107" s="37" t="inlineStr">
        <is>
          <t>Pump Assembly - Wilo 150-200-GSN 2-Stage (Borio)</t>
        </is>
      </c>
      <c r="C107" s="37" t="inlineStr">
        <is>
          <t>GSN150-MC/12-P4-0-1480</t>
        </is>
      </c>
      <c r="D107" s="37" t="inlineStr">
        <is>
          <t>Pump</t>
        </is>
      </c>
      <c r="E107" s="37" t="inlineStr">
        <is>
          <t>Centrifugal Horizontal HSC</t>
        </is>
      </c>
      <c r="F107" s="37" t="inlineStr">
        <is>
          <t>Wilo 150-200-GSN (Borio)</t>
        </is>
      </c>
      <c r="G107" s="37" t="inlineStr">
        <is>
          <t>Wilo Mather &amp; Platt Pumps Pvt Ltd</t>
        </is>
      </c>
      <c r="H107" s="37" t="n">
        <v>1</v>
      </c>
      <c r="I107" s="37" t="inlineStr">
        <is>
          <t>EA</t>
        </is>
      </c>
      <c r="J107" s="37" t="inlineStr">
        <is>
          <t>Various (See Components)</t>
        </is>
      </c>
      <c r="K107" s="37" t="n">
        <v>1823</v>
      </c>
      <c r="L107" s="37" t="n"/>
      <c r="M107" s="37" t="inlineStr">
        <is>
          <t>Borio ESR; 2-stage; Q=5170 LPM / 310.2 m3/h; H=143.83m; Speed=1488rpm; Eff=76.10%; Input=159.66kW; Motor=190kW (non-standard); Max head=166m; Min Cont Flow=1750 LPM; Total static load=1823 kg; Wilo SO 81343152/20</t>
        </is>
      </c>
    </row>
    <row r="108">
      <c r="A108" s="37" t="inlineStr">
        <is>
          <t>MOT-KECL-190</t>
        </is>
      </c>
      <c r="B108" s="37" t="inlineStr">
        <is>
          <t>Motor 190kW (Non-Standard) for Borio GSN Pump</t>
        </is>
      </c>
      <c r="C108" s="37" t="n"/>
      <c r="D108" s="37" t="inlineStr">
        <is>
          <t>Motor</t>
        </is>
      </c>
      <c r="E108" s="37" t="inlineStr">
        <is>
          <t>LT Induction Motor</t>
        </is>
      </c>
      <c r="F108" s="37" t="inlineStr">
        <is>
          <t>Wilo 150-200-GSN (Borio)</t>
        </is>
      </c>
      <c r="G108" s="37" t="inlineStr">
        <is>
          <t>Kirloskar Electric Company Ltd</t>
        </is>
      </c>
      <c r="H108" s="37" t="n">
        <v>1</v>
      </c>
      <c r="I108" s="37" t="inlineStr">
        <is>
          <t>EA</t>
        </is>
      </c>
      <c r="J108" s="37" t="inlineStr">
        <is>
          <t>Cast Iron Frame</t>
        </is>
      </c>
      <c r="K108" s="37" t="n">
        <v>1250</v>
      </c>
      <c r="L108" s="37" t="n"/>
      <c r="M108" s="37" t="inlineStr">
        <is>
          <t>190kW non-standard motor per Wilo data sheet; Weight approx 1250 kg; 4-pole / 1488 rpm; 415V; Note: non-standard rating flagged in datasheet</t>
        </is>
      </c>
    </row>
    <row r="109">
      <c r="A109" s="37" t="inlineStr">
        <is>
          <t>ASM-WILO-GSN-B</t>
        </is>
      </c>
      <c r="B109" s="37" t="inlineStr">
        <is>
          <t>Complete Pump Package 150-200-GSN (Borio)</t>
        </is>
      </c>
      <c r="C109" s="37" t="inlineStr">
        <is>
          <t>81343152/20</t>
        </is>
      </c>
      <c r="D109" s="37" t="inlineStr">
        <is>
          <t>Assembly</t>
        </is>
      </c>
      <c r="E109" s="37" t="inlineStr">
        <is>
          <t>Complete Package</t>
        </is>
      </c>
      <c r="F109" s="37" t="inlineStr">
        <is>
          <t>Wilo 150-200-GSN (Borio)</t>
        </is>
      </c>
      <c r="G109" s="37" t="inlineStr">
        <is>
          <t>Wilo Mather &amp; Platt Pumps Pvt Ltd</t>
        </is>
      </c>
      <c r="H109" s="37" t="n">
        <v>1</v>
      </c>
      <c r="I109" s="37" t="inlineStr">
        <is>
          <t>PKG</t>
        </is>
      </c>
      <c r="J109" s="37" t="inlineStr">
        <is>
          <t>Various</t>
        </is>
      </c>
      <c r="K109" s="37" t="n">
        <v>1823</v>
      </c>
      <c r="L109" s="37" t="n"/>
      <c r="M109" s="37" t="inlineStr">
        <is>
          <t>Total static weight 1823 kg; Qty 2 pumps for Borio ESR; Customer: Sudhakara Infratech; End Customer: DW&amp;S Div Sahibganj; IS 6595</t>
        </is>
      </c>
    </row>
    <row r="110">
      <c r="A110" s="37" t="inlineStr">
        <is>
          <t>PUMP-JYT-400TE3D4</t>
        </is>
      </c>
      <c r="B110" s="37" t="inlineStr">
        <is>
          <t>Pump Assembly - Jyoti 400TE3D4 (5-Stage VTP)</t>
        </is>
      </c>
      <c r="C110" s="37" t="inlineStr">
        <is>
          <t>SP-PT25-P31722_3</t>
        </is>
      </c>
      <c r="D110" s="37" t="inlineStr">
        <is>
          <t>Pump</t>
        </is>
      </c>
      <c r="E110" s="37" t="inlineStr">
        <is>
          <t>Vertical Turbine Pump</t>
        </is>
      </c>
      <c r="F110" s="37" t="inlineStr">
        <is>
          <t>Jyoti 400TE3D4 (5-Stage VTP)</t>
        </is>
      </c>
      <c r="G110" s="37" t="inlineStr">
        <is>
          <t>Jyoti Ltd</t>
        </is>
      </c>
      <c r="H110" s="37" t="n">
        <v>1</v>
      </c>
      <c r="I110" s="37" t="inlineStr">
        <is>
          <t>EA</t>
        </is>
      </c>
      <c r="J110" s="37" t="inlineStr">
        <is>
          <t>Various (See Components)</t>
        </is>
      </c>
      <c r="K110" s="37" t="n">
        <v>5280</v>
      </c>
      <c r="L110" s="37" t="n"/>
      <c r="M110" s="37" t="inlineStr">
        <is>
          <t>MP Jal Nigam Pawai | Q=10234 LPM / 614 m3/h; Bowl H=116m; Pump H=115.5m; Bowl Eff=84%; Pump Eff=83%; Bowl Power=230.93kW; Pump Power=231.68kW; Speed=1480rpm; 5-stage; Shutoff=154.29m (133%); Max Imp Ø327mm; Rated Imp Ø326mm; Min Imp Ø308mm; Specific Speed=2990.54 US; Vib max 4.5mm/s; Noise 85dB @1.85m; GD²=4.25 kgm²; Column 300x60mm; Discharge DS-300; Drawing GA/CS-2022</t>
        </is>
      </c>
    </row>
    <row r="111">
      <c r="A111" s="37" t="inlineStr">
        <is>
          <t>BOWL-JYT-400</t>
        </is>
      </c>
      <c r="B111" s="37" t="inlineStr">
        <is>
          <t>Bowl / Casing - Jyoti 400TE3D4</t>
        </is>
      </c>
      <c r="C111" s="37" t="n"/>
      <c r="D111" s="37" t="inlineStr">
        <is>
          <t>Casing</t>
        </is>
      </c>
      <c r="E111" s="37" t="inlineStr">
        <is>
          <t>Bowl / Stage Casing</t>
        </is>
      </c>
      <c r="F111" s="37" t="inlineStr">
        <is>
          <t>Jyoti 400TE3D4 (5-Stage VTP)</t>
        </is>
      </c>
      <c r="G111" s="37" t="inlineStr">
        <is>
          <t>Jyoti Ltd</t>
        </is>
      </c>
      <c r="H111" s="37" t="n">
        <v>5</v>
      </c>
      <c r="I111" s="37" t="inlineStr">
        <is>
          <t>EA</t>
        </is>
      </c>
      <c r="J111" s="37" t="inlineStr">
        <is>
          <t>SG Iron IS:1865</t>
        </is>
      </c>
      <c r="K111" s="37" t="n"/>
      <c r="L111" s="37" t="n"/>
      <c r="M111" s="37" t="inlineStr">
        <is>
          <t>Item 6 from BOM; 5 nos (one per stage); spheroidal graphite iron; includes top bowl (item 8) SG Iron</t>
        </is>
      </c>
    </row>
    <row r="112">
      <c r="A112" s="37" t="inlineStr">
        <is>
          <t>IMP-JYT-400</t>
        </is>
      </c>
      <c r="B112" s="37" t="inlineStr">
        <is>
          <t>Impeller - Jyoti 400TE3D4 (Per Stage)</t>
        </is>
      </c>
      <c r="C112" s="37" t="n"/>
      <c r="D112" s="37" t="inlineStr">
        <is>
          <t>Impeller</t>
        </is>
      </c>
      <c r="E112" s="37" t="inlineStr">
        <is>
          <t>Closed Impeller</t>
        </is>
      </c>
      <c r="F112" s="37" t="inlineStr">
        <is>
          <t>Jyoti 400TE3D4 (5-Stage VTP)</t>
        </is>
      </c>
      <c r="G112" s="37" t="inlineStr">
        <is>
          <t>Jyoti Ltd</t>
        </is>
      </c>
      <c r="H112" s="37" t="n">
        <v>5</v>
      </c>
      <c r="I112" s="37" t="inlineStr">
        <is>
          <t>EA</t>
        </is>
      </c>
      <c r="J112" s="37" t="inlineStr">
        <is>
          <t>SSCF8M ASTM A743</t>
        </is>
      </c>
      <c r="K112" s="37" t="n"/>
      <c r="L112" s="37" t="n"/>
      <c r="M112" s="37" t="inlineStr">
        <is>
          <t>Item 5 from BOM; 5 nos (one per stage); SS CF8M stainless; closed type; Rated Ø326mm; Max Ø327mm; Min Ø308mm</t>
        </is>
      </c>
    </row>
    <row r="113">
      <c r="A113" s="37" t="inlineStr">
        <is>
          <t>SHAFT-JYT-400-IMP</t>
        </is>
      </c>
      <c r="B113" s="37" t="inlineStr">
        <is>
          <t>Impeller Shaft - Jyoti 400TE3D4</t>
        </is>
      </c>
      <c r="C113" s="37" t="n"/>
      <c r="D113" s="37" t="inlineStr">
        <is>
          <t>Shaft</t>
        </is>
      </c>
      <c r="E113" s="37" t="inlineStr">
        <is>
          <t>Impeller Shaft</t>
        </is>
      </c>
      <c r="F113" s="37" t="inlineStr">
        <is>
          <t>Jyoti 400TE3D4 (5-Stage VTP)</t>
        </is>
      </c>
      <c r="G113" s="37" t="inlineStr">
        <is>
          <t>Jyoti Ltd</t>
        </is>
      </c>
      <c r="H113" s="37" t="n">
        <v>1</v>
      </c>
      <c r="I113" s="37" t="inlineStr">
        <is>
          <t>EA</t>
        </is>
      </c>
      <c r="J113" s="37" t="inlineStr">
        <is>
          <t>SS410T ASTM A276</t>
        </is>
      </c>
      <c r="K113" s="37" t="n"/>
      <c r="L113" s="37" t="n"/>
      <c r="M113" s="37" t="inlineStr">
        <is>
          <t>Item 9 from BOM; impeller shaft SS 410T ASTMA276</t>
        </is>
      </c>
    </row>
    <row r="114">
      <c r="A114" s="37" t="inlineStr">
        <is>
          <t>SHAFT-JYT-400-LINE</t>
        </is>
      </c>
      <c r="B114" s="37" t="inlineStr">
        <is>
          <t>Line Shaft Assembly - Jyoti 400TE3D4 (per section)</t>
        </is>
      </c>
      <c r="C114" s="37" t="n"/>
      <c r="D114" s="37" t="inlineStr">
        <is>
          <t>Shaft</t>
        </is>
      </c>
      <c r="E114" s="37" t="inlineStr">
        <is>
          <t>Line Shaft</t>
        </is>
      </c>
      <c r="F114" s="37" t="inlineStr">
        <is>
          <t>Jyoti 400TE3D4 (5-Stage VTP)</t>
        </is>
      </c>
      <c r="G114" s="37" t="inlineStr">
        <is>
          <t>Jyoti Ltd</t>
        </is>
      </c>
      <c r="H114" s="37" t="n">
        <v>12</v>
      </c>
      <c r="I114" s="37" t="inlineStr">
        <is>
          <t>EA</t>
        </is>
      </c>
      <c r="J114" s="37" t="inlineStr">
        <is>
          <t>SS410T ASTM A276</t>
        </is>
      </c>
      <c r="K114" s="37" t="n"/>
      <c r="L114" s="37" t="n"/>
      <c r="M114" s="37" t="inlineStr">
        <is>
          <t>Item 2 from BOM; 12 sections (1500mm each); column length 19200mm = 1500x12 + 1200x1; SS 410T ASTMA276; shaft dia 60mm NB</t>
        </is>
      </c>
    </row>
    <row r="115">
      <c r="A115" s="37" t="inlineStr">
        <is>
          <t>SHAFT-JYT-400-HEAD</t>
        </is>
      </c>
      <c r="B115" s="37" t="inlineStr">
        <is>
          <t>Head Shaft - Jyoti 400TE3D4</t>
        </is>
      </c>
      <c r="C115" s="37" t="n"/>
      <c r="D115" s="37" t="inlineStr">
        <is>
          <t>Shaft</t>
        </is>
      </c>
      <c r="E115" s="37" t="inlineStr">
        <is>
          <t>Head Shaft</t>
        </is>
      </c>
      <c r="F115" s="37" t="inlineStr">
        <is>
          <t>Jyoti 400TE3D4 (5-Stage VTP)</t>
        </is>
      </c>
      <c r="G115" s="37" t="inlineStr">
        <is>
          <t>Jyoti Ltd</t>
        </is>
      </c>
      <c r="H115" s="37" t="n">
        <v>1</v>
      </c>
      <c r="I115" s="37" t="inlineStr">
        <is>
          <t>EA</t>
        </is>
      </c>
      <c r="J115" s="37" t="inlineStr">
        <is>
          <t>SS410T ASTM A276</t>
        </is>
      </c>
      <c r="K115" s="37" t="n"/>
      <c r="L115" s="37" t="n"/>
      <c r="M115" s="37" t="inlineStr">
        <is>
          <t>Item 1" from BOM; head shaft connecting motor to line shaft SS 410T ASTMA276</t>
        </is>
      </c>
    </row>
    <row r="116">
      <c r="A116" s="37" t="inlineStr">
        <is>
          <t>COLPIPE-JYT-400</t>
        </is>
      </c>
      <c r="B116" s="37" t="inlineStr">
        <is>
          <t>Column Pipe - Jyoti 400TE3D4 (per section)</t>
        </is>
      </c>
      <c r="C116" s="37" t="n"/>
      <c r="D116" s="37" t="inlineStr">
        <is>
          <t>Piping</t>
        </is>
      </c>
      <c r="E116" s="37" t="inlineStr">
        <is>
          <t>Column Pipe</t>
        </is>
      </c>
      <c r="F116" s="37" t="inlineStr">
        <is>
          <t>Jyoti 400TE3D4 (5-Stage VTP)</t>
        </is>
      </c>
      <c r="G116" s="37" t="inlineStr">
        <is>
          <t>Jyoti Ltd</t>
        </is>
      </c>
      <c r="H116" s="37" t="n">
        <v>13</v>
      </c>
      <c r="I116" s="37" t="inlineStr">
        <is>
          <t>EA</t>
        </is>
      </c>
      <c r="J116" s="37" t="inlineStr">
        <is>
          <t>ERW Steel Pipe</t>
        </is>
      </c>
      <c r="K116" s="37" t="n"/>
      <c r="L116" s="37" t="n"/>
      <c r="M116" s="37" t="inlineStr">
        <is>
          <t>Item 1 from BOM; 12x1500mm + 1x1200mm = 19200mm total column length; Ø300mm NB column pipe; ERW steel pipe</t>
        </is>
      </c>
    </row>
    <row r="117">
      <c r="A117" s="37" t="inlineStr">
        <is>
          <t>DHEAD-JYT-400</t>
        </is>
      </c>
      <c r="B117" s="37" t="inlineStr">
        <is>
          <t>Discharge Head Body DS-300 - Jyoti 400TE3D4</t>
        </is>
      </c>
      <c r="C117" s="37" t="n"/>
      <c r="D117" s="37" t="inlineStr">
        <is>
          <t>Casing</t>
        </is>
      </c>
      <c r="E117" s="37" t="inlineStr">
        <is>
          <t>Discharge Head</t>
        </is>
      </c>
      <c r="F117" s="37" t="inlineStr">
        <is>
          <t>Jyoti 400TE3D4 (5-Stage VTP)</t>
        </is>
      </c>
      <c r="G117" s="37" t="inlineStr">
        <is>
          <t>Jyoti Ltd</t>
        </is>
      </c>
      <c r="H117" s="37" t="n">
        <v>1</v>
      </c>
      <c r="I117" s="37" t="inlineStr">
        <is>
          <t>EA</t>
        </is>
      </c>
      <c r="J117" s="37" t="inlineStr">
        <is>
          <t>CI FG 200 IS:210</t>
        </is>
      </c>
      <c r="K117" s="37" t="n"/>
      <c r="L117" s="37" t="n"/>
      <c r="M117" s="37" t="inlineStr">
        <is>
          <t>Item 2" from BOM; discharge head body DS-300; square port opening 500x500; CI FG 200; discharge above floor; delivery flange OD Ø457mm; ID Ø300mm; PCD Ø406.4mm; 12 holes M20</t>
        </is>
      </c>
    </row>
    <row r="118">
      <c r="A118" s="37" t="inlineStr">
        <is>
          <t>BRG-JYT-400-LINE</t>
        </is>
      </c>
      <c r="B118" s="37" t="inlineStr">
        <is>
          <t>Line Shaft Bearing (Thordon) - Jyoti 400TE3D4</t>
        </is>
      </c>
      <c r="C118" s="37" t="n"/>
      <c r="D118" s="37" t="inlineStr">
        <is>
          <t>Bearing</t>
        </is>
      </c>
      <c r="E118" s="37" t="inlineStr">
        <is>
          <t>Water Lubricated Bearing</t>
        </is>
      </c>
      <c r="F118" s="37" t="inlineStr">
        <is>
          <t>Jyoti 400TE3D4 (5-Stage VTP)</t>
        </is>
      </c>
      <c r="G118" s="37" t="inlineStr">
        <is>
          <t>Jyoti Ltd</t>
        </is>
      </c>
      <c r="H118" s="37" t="n">
        <v>12</v>
      </c>
      <c r="I118" s="37" t="inlineStr">
        <is>
          <t>EA</t>
        </is>
      </c>
      <c r="J118" s="37" t="inlineStr">
        <is>
          <t>Thordon Polymer</t>
        </is>
      </c>
      <c r="K118" s="37" t="n"/>
      <c r="L118" s="37" t="n"/>
      <c r="M118" s="37" t="inlineStr">
        <is>
          <t>Item 4 from BOM; Thordon type; one per line shaft section; self-water lubricated; bearing holder CI FG 200</t>
        </is>
      </c>
    </row>
    <row r="119">
      <c r="A119" s="37" t="inlineStr">
        <is>
          <t>BRG-JYT-400-BUSH</t>
        </is>
      </c>
      <c r="B119" s="37" t="inlineStr">
        <is>
          <t>Bush Bearing (Bowl) - Jyoti 400TE3D4</t>
        </is>
      </c>
      <c r="C119" s="37" t="n"/>
      <c r="D119" s="37" t="inlineStr">
        <is>
          <t>Bearing</t>
        </is>
      </c>
      <c r="E119" s="37" t="inlineStr">
        <is>
          <t>Bush Bearing</t>
        </is>
      </c>
      <c r="F119" s="37" t="inlineStr">
        <is>
          <t>Jyoti 400TE3D4 (5-Stage VTP)</t>
        </is>
      </c>
      <c r="G119" s="37" t="inlineStr">
        <is>
          <t>Jyoti Ltd</t>
        </is>
      </c>
      <c r="H119" s="37" t="n">
        <v>5</v>
      </c>
      <c r="I119" s="37" t="inlineStr">
        <is>
          <t>EA</t>
        </is>
      </c>
      <c r="J119" s="37" t="inlineStr">
        <is>
          <t>Bronze LTB2 IS:318</t>
        </is>
      </c>
      <c r="K119" s="37" t="n"/>
      <c r="L119" s="37" t="n"/>
      <c r="M119" s="37" t="inlineStr">
        <is>
          <t>Item 7 from BOM; 5 nos; bronze LTB2; bowl bearing; also suction case bearing bronze LTB2 (item 3)</t>
        </is>
      </c>
    </row>
    <row r="120">
      <c r="A120" s="37" t="inlineStr">
        <is>
          <t>WRNG-JYT-400</t>
        </is>
      </c>
      <c r="B120" s="37" t="inlineStr">
        <is>
          <t>Impeller Wearing Ring - Jyoti 400TE3D4</t>
        </is>
      </c>
      <c r="C120" s="37" t="n"/>
      <c r="D120" s="37" t="inlineStr">
        <is>
          <t>Wear Ring</t>
        </is>
      </c>
      <c r="E120" s="37" t="inlineStr">
        <is>
          <t>Impeller Wear Ring</t>
        </is>
      </c>
      <c r="F120" s="37" t="inlineStr">
        <is>
          <t>Jyoti 400TE3D4 (5-Stage VTP)</t>
        </is>
      </c>
      <c r="G120" s="37" t="inlineStr">
        <is>
          <t>Jyoti Ltd</t>
        </is>
      </c>
      <c r="H120" s="37" t="n">
        <v>5</v>
      </c>
      <c r="I120" s="37" t="inlineStr">
        <is>
          <t>EA</t>
        </is>
      </c>
      <c r="J120" s="37" t="inlineStr">
        <is>
          <t>Bronze LTB2 IS:318</t>
        </is>
      </c>
      <c r="K120" s="37" t="n"/>
      <c r="L120" s="37" t="n"/>
      <c r="M120" s="37" t="inlineStr">
        <is>
          <t>Item 4 from BOM; 5 nos (one per stage); bronze LTB2 IS:318</t>
        </is>
      </c>
    </row>
    <row r="121">
      <c r="A121" s="37" t="inlineStr">
        <is>
          <t>STRNR-JYT-400</t>
        </is>
      </c>
      <c r="B121" s="37" t="inlineStr">
        <is>
          <t>Strainer - Jyoti 400TE3D4</t>
        </is>
      </c>
      <c r="C121" s="37" t="n"/>
      <c r="D121" s="37" t="inlineStr">
        <is>
          <t>Strainer</t>
        </is>
      </c>
      <c r="E121" s="37" t="inlineStr">
        <is>
          <t>Suction Strainer</t>
        </is>
      </c>
      <c r="F121" s="37" t="inlineStr">
        <is>
          <t>Jyoti 400TE3D4 (5-Stage VTP)</t>
        </is>
      </c>
      <c r="G121" s="37" t="inlineStr">
        <is>
          <t>Jyoti Ltd</t>
        </is>
      </c>
      <c r="H121" s="37" t="n">
        <v>1</v>
      </c>
      <c r="I121" s="37" t="inlineStr">
        <is>
          <t>EA</t>
        </is>
      </c>
      <c r="J121" s="37" t="inlineStr">
        <is>
          <t>MS Fab IS:2062</t>
        </is>
      </c>
      <c r="K121" s="37" t="n"/>
      <c r="L121" s="37" t="n"/>
      <c r="M121" s="37" t="inlineStr">
        <is>
          <t>Item 1 from BOM; MS fabricated IS:2062; sump strainer; min submergence level 2.093m; sump clearances: side 385mm / back 288.75mm</t>
        </is>
      </c>
    </row>
    <row r="122">
      <c r="A122" s="37" t="inlineStr">
        <is>
          <t>SEAL-JYT-400</t>
        </is>
      </c>
      <c r="B122" s="37" t="inlineStr">
        <is>
          <t>Stuffing Box / Gland Packing - Jyoti 400TE3D4</t>
        </is>
      </c>
      <c r="C122" s="37" t="n"/>
      <c r="D122" s="37" t="inlineStr">
        <is>
          <t>Seal</t>
        </is>
      </c>
      <c r="E122" s="37" t="inlineStr">
        <is>
          <t>Gland Packing</t>
        </is>
      </c>
      <c r="F122" s="37" t="inlineStr">
        <is>
          <t>Jyoti 400TE3D4 (5-Stage VTP)</t>
        </is>
      </c>
      <c r="G122" s="37" t="inlineStr">
        <is>
          <t>Jyoti Ltd</t>
        </is>
      </c>
      <c r="H122" s="37" t="n">
        <v>1</v>
      </c>
      <c r="I122" s="37" t="inlineStr">
        <is>
          <t>SET</t>
        </is>
      </c>
      <c r="J122" s="37" t="inlineStr">
        <is>
          <t>CI FG 200 / Gland Packing STD</t>
        </is>
      </c>
      <c r="K122" s="37" t="n"/>
      <c r="L122" s="37" t="n"/>
      <c r="M122" s="37" t="inlineStr">
        <is>
          <t>Item 5" stuffing box CI FG 200; item 4" stuffing box sealing gland packing STD; item 3" gland CI FG 200</t>
        </is>
      </c>
    </row>
    <row r="123">
      <c r="A123" s="37" t="inlineStr">
        <is>
          <t>CPL-JYT-400</t>
        </is>
      </c>
      <c r="B123" s="37" t="inlineStr">
        <is>
          <t>Line Shaft Coupling - Jyoti 400TE3D4</t>
        </is>
      </c>
      <c r="C123" s="37" t="n"/>
      <c r="D123" s="37" t="inlineStr">
        <is>
          <t>Coupling</t>
        </is>
      </c>
      <c r="E123" s="37" t="inlineStr">
        <is>
          <t>Shaft Coupling</t>
        </is>
      </c>
      <c r="F123" s="37" t="inlineStr">
        <is>
          <t>Jyoti 400TE3D4 (5-Stage VTP)</t>
        </is>
      </c>
      <c r="G123" s="37" t="inlineStr">
        <is>
          <t>Jyoti Ltd</t>
        </is>
      </c>
      <c r="H123" s="37" t="n">
        <v>12</v>
      </c>
      <c r="I123" s="37" t="inlineStr">
        <is>
          <t>EA</t>
        </is>
      </c>
      <c r="J123" s="37" t="inlineStr">
        <is>
          <t>SS410T ASTM A276</t>
        </is>
      </c>
      <c r="K123" s="37" t="n"/>
      <c r="L123" s="37" t="n"/>
      <c r="M123" s="37" t="inlineStr">
        <is>
          <t>Item 7 from BOM; SS 410T ASTMA276; connects line shaft sections; also impeller shaft coupling (item 11) and head shaft coupling (item 5)</t>
        </is>
      </c>
    </row>
    <row r="124">
      <c r="A124" s="37" t="inlineStr">
        <is>
          <t>MOT-JYT-400</t>
        </is>
      </c>
      <c r="B124" s="37" t="inlineStr">
        <is>
          <t>Motor 315kW CUD315 Solid Shaft VTP - Jyoti 400TE3D4</t>
        </is>
      </c>
      <c r="C124" s="37" t="inlineStr">
        <is>
          <t>P31722_3</t>
        </is>
      </c>
      <c r="D124" s="37" t="inlineStr">
        <is>
          <t>Motor</t>
        </is>
      </c>
      <c r="E124" s="37" t="inlineStr">
        <is>
          <t>HV Induction Motor</t>
        </is>
      </c>
      <c r="F124" s="37" t="inlineStr">
        <is>
          <t>Jyoti 400TE3D4 (5-Stage VTP)</t>
        </is>
      </c>
      <c r="G124" s="37" t="inlineStr">
        <is>
          <t>Jyoti Ltd</t>
        </is>
      </c>
      <c r="H124" s="37" t="n">
        <v>1</v>
      </c>
      <c r="I124" s="37" t="inlineStr">
        <is>
          <t>EA</t>
        </is>
      </c>
      <c r="J124" s="37" t="inlineStr">
        <is>
          <t>Cast Iron Frame</t>
        </is>
      </c>
      <c r="K124" s="37" t="n">
        <v>2800</v>
      </c>
      <c r="L124" s="37" t="n"/>
      <c r="M124" s="37" t="inlineStr">
        <is>
          <t>Frame CUD315; solid shaft type; 315kW / 425hp; 4-pole; 1480rpm; Motor weight 2800kg; Motor skirt MS Fab IS:2062 (item 7"); Motor coupling CI FG 200 (item 9"); Pump coupling CI FG 200 (item 8"); Soleplate MS Fab IS:2062 (item *); Foundation bolts: 4 Nos AM24x500mm (not in Jyoti scope); Static load: 79.26kN; Dynamic horiz @duty: 13.05kN; Dynamic vert @duty: 105.83kN</t>
        </is>
      </c>
    </row>
    <row r="125">
      <c r="A125" s="37" t="inlineStr">
        <is>
          <t>ASM-JYT-400TE3D4</t>
        </is>
      </c>
      <c r="B125" s="37" t="inlineStr">
        <is>
          <t>Complete Pump Package - Jyoti 400TE3D4</t>
        </is>
      </c>
      <c r="C125" s="37" t="inlineStr">
        <is>
          <t>SP-PT25-P31722_3</t>
        </is>
      </c>
      <c r="D125" s="37" t="inlineStr">
        <is>
          <t>Assembly</t>
        </is>
      </c>
      <c r="E125" s="37" t="inlineStr">
        <is>
          <t>Complete Package</t>
        </is>
      </c>
      <c r="F125" s="37" t="inlineStr">
        <is>
          <t>Jyoti 400TE3D4 (5-Stage VTP)</t>
        </is>
      </c>
      <c r="G125" s="37" t="inlineStr">
        <is>
          <t>Jyoti Ltd</t>
        </is>
      </c>
      <c r="H125" s="37" t="n">
        <v>1</v>
      </c>
      <c r="I125" s="37" t="inlineStr">
        <is>
          <t>PKG</t>
        </is>
      </c>
      <c r="J125" s="37" t="inlineStr">
        <is>
          <t>Various</t>
        </is>
      </c>
      <c r="K125" s="37" t="n">
        <v>8080</v>
      </c>
      <c r="L125" s="37" t="n"/>
      <c r="M125" s="37" t="inlineStr">
        <is>
          <t>Total: Pump 5280kg + Motor 2800kg = 8080kg; 2 nos for MP Jal Nigam Pawai; Customer: Zetwerk; Report SP-PT25-P31722_3 Rev R0 dated 30-06-2025; Drawing GA/CS-2022</t>
        </is>
      </c>
    </row>
    <row r="126">
      <c r="A126" s="37" t="inlineStr">
        <is>
          <t>PUMP-JYT-350TE1A4</t>
        </is>
      </c>
      <c r="B126" s="37" t="inlineStr">
        <is>
          <t>Pump Assembly - Jyoti 350TE1A4 (7-Stage VTP)</t>
        </is>
      </c>
      <c r="C126" s="37" t="inlineStr">
        <is>
          <t>SP-PT25-P31722/1</t>
        </is>
      </c>
      <c r="D126" s="37" t="inlineStr">
        <is>
          <t>Pump</t>
        </is>
      </c>
      <c r="E126" s="37" t="inlineStr">
        <is>
          <t>Vertical Turbine Pump</t>
        </is>
      </c>
      <c r="F126" s="37" t="inlineStr">
        <is>
          <t>Jyoti 350TE1A4 (7-Stage VTP)</t>
        </is>
      </c>
      <c r="G126" s="37" t="inlineStr">
        <is>
          <t>Jyoti Ltd</t>
        </is>
      </c>
      <c r="H126" s="37" t="n">
        <v>1</v>
      </c>
      <c r="I126" s="37" t="inlineStr">
        <is>
          <t>EA</t>
        </is>
      </c>
      <c r="J126" s="37" t="inlineStr">
        <is>
          <t>Various (See Components)</t>
        </is>
      </c>
      <c r="K126" s="37" t="n">
        <v>3350</v>
      </c>
      <c r="L126" s="37" t="n"/>
      <c r="M126" s="37" t="inlineStr">
        <is>
          <t>MP Jal Nigam Pawai | Q=5117 LPM / 307 m3/h; Bowl H=116m; Pump H=115m; Bowl Eff=81%; Pump Eff=80%; Bowl Power=119.74kW; Pump Power=120.49kW; Speed=1480rpm; 7-stage; Shutoff=177.8m (153%); Max Imp Ø286mm; Rated Imp Ø279.9mm; Min Imp Ø256mm; Specific Speed=2713.69 US; Vib max 4.5mm/s; Noise 85dB @1.85m; GD²=1.015 kgm²; Column 200x50mm; Discharge DS-200; Drawing GA/CS-2021</t>
        </is>
      </c>
    </row>
    <row r="127">
      <c r="A127" s="37" t="inlineStr">
        <is>
          <t>BOWL-JYT-350</t>
        </is>
      </c>
      <c r="B127" s="37" t="inlineStr">
        <is>
          <t>Bowl / Casing - Jyoti 350TE1A4</t>
        </is>
      </c>
      <c r="C127" s="37" t="n"/>
      <c r="D127" s="37" t="inlineStr">
        <is>
          <t>Casing</t>
        </is>
      </c>
      <c r="E127" s="37" t="inlineStr">
        <is>
          <t>Bowl / Stage Casing</t>
        </is>
      </c>
      <c r="F127" s="37" t="inlineStr">
        <is>
          <t>Jyoti 350TE1A4 (7-Stage VTP)</t>
        </is>
      </c>
      <c r="G127" s="37" t="inlineStr">
        <is>
          <t>Jyoti Ltd</t>
        </is>
      </c>
      <c r="H127" s="37" t="n">
        <v>7</v>
      </c>
      <c r="I127" s="37" t="inlineStr">
        <is>
          <t>EA</t>
        </is>
      </c>
      <c r="J127" s="37" t="inlineStr">
        <is>
          <t>SG Iron IS:1865</t>
        </is>
      </c>
      <c r="K127" s="37" t="n"/>
      <c r="L127" s="37" t="n"/>
      <c r="M127" s="37" t="inlineStr">
        <is>
          <t>Item 6 from BOM; 7 nos (one per stage); spheroidal graphite iron; includes top bowl (item 8) SG Iron</t>
        </is>
      </c>
    </row>
    <row r="128">
      <c r="A128" s="37" t="inlineStr">
        <is>
          <t>IMP-JYT-350</t>
        </is>
      </c>
      <c r="B128" s="37" t="inlineStr">
        <is>
          <t>Impeller - Jyoti 350TE1A4 (Per Stage)</t>
        </is>
      </c>
      <c r="C128" s="37" t="n"/>
      <c r="D128" s="37" t="inlineStr">
        <is>
          <t>Impeller</t>
        </is>
      </c>
      <c r="E128" s="37" t="inlineStr">
        <is>
          <t>Closed Impeller</t>
        </is>
      </c>
      <c r="F128" s="37" t="inlineStr">
        <is>
          <t>Jyoti 350TE1A4 (7-Stage VTP)</t>
        </is>
      </c>
      <c r="G128" s="37" t="inlineStr">
        <is>
          <t>Jyoti Ltd</t>
        </is>
      </c>
      <c r="H128" s="37" t="n">
        <v>7</v>
      </c>
      <c r="I128" s="37" t="inlineStr">
        <is>
          <t>EA</t>
        </is>
      </c>
      <c r="J128" s="37" t="inlineStr">
        <is>
          <t>SSCF8M ASTM A743</t>
        </is>
      </c>
      <c r="K128" s="37" t="n"/>
      <c r="L128" s="37" t="n"/>
      <c r="M128" s="37" t="inlineStr">
        <is>
          <t>Item 5 from BOM; 7 nos (one per stage); SS CF8M; closed type; Rated Ø279.9mm; Max Ø286mm; Min Ø256mm</t>
        </is>
      </c>
    </row>
    <row r="129">
      <c r="A129" s="37" t="inlineStr">
        <is>
          <t>SHAFT-JYT-350-IMP</t>
        </is>
      </c>
      <c r="B129" s="37" t="inlineStr">
        <is>
          <t>Impeller Shaft - Jyoti 350TE1A4</t>
        </is>
      </c>
      <c r="C129" s="37" t="n"/>
      <c r="D129" s="37" t="inlineStr">
        <is>
          <t>Shaft</t>
        </is>
      </c>
      <c r="E129" s="37" t="inlineStr">
        <is>
          <t>Impeller Shaft</t>
        </is>
      </c>
      <c r="F129" s="37" t="inlineStr">
        <is>
          <t>Jyoti 350TE1A4 (7-Stage VTP)</t>
        </is>
      </c>
      <c r="G129" s="37" t="inlineStr">
        <is>
          <t>Jyoti Ltd</t>
        </is>
      </c>
      <c r="H129" s="37" t="n">
        <v>1</v>
      </c>
      <c r="I129" s="37" t="inlineStr">
        <is>
          <t>EA</t>
        </is>
      </c>
      <c r="J129" s="37" t="inlineStr">
        <is>
          <t>SS410T ASTM A276</t>
        </is>
      </c>
      <c r="K129" s="37" t="n"/>
      <c r="L129" s="37" t="n"/>
      <c r="M129" s="37" t="inlineStr">
        <is>
          <t>Item 9 from BOM; impeller shaft SS 410T ASTMA276; Ø350mm bowl diameter</t>
        </is>
      </c>
    </row>
    <row r="130">
      <c r="A130" s="37" t="inlineStr">
        <is>
          <t>SHAFT-JYT-350-LINE</t>
        </is>
      </c>
      <c r="B130" s="37" t="inlineStr">
        <is>
          <t>Line Shaft Assembly - Jyoti 350TE1A4 (per section)</t>
        </is>
      </c>
      <c r="C130" s="37" t="n"/>
      <c r="D130" s="37" t="inlineStr">
        <is>
          <t>Shaft</t>
        </is>
      </c>
      <c r="E130" s="37" t="inlineStr">
        <is>
          <t>Line Shaft</t>
        </is>
      </c>
      <c r="F130" s="37" t="inlineStr">
        <is>
          <t>Jyoti 350TE1A4 (7-Stage VTP)</t>
        </is>
      </c>
      <c r="G130" s="37" t="inlineStr">
        <is>
          <t>Jyoti Ltd</t>
        </is>
      </c>
      <c r="H130" s="37" t="n">
        <v>13</v>
      </c>
      <c r="I130" s="37" t="inlineStr">
        <is>
          <t>EA</t>
        </is>
      </c>
      <c r="J130" s="37" t="inlineStr">
        <is>
          <t>SS410T ASTM A276</t>
        </is>
      </c>
      <c r="K130" s="37" t="n"/>
      <c r="L130" s="37" t="n"/>
      <c r="M130" s="37" t="inlineStr">
        <is>
          <t>Item 2 from BOM; 12x1500mm + 1x1100mm = 19100mm total column; Ø50mm NB line shaft; SS 410T ASTMA276</t>
        </is>
      </c>
    </row>
    <row r="131">
      <c r="A131" s="37" t="inlineStr">
        <is>
          <t>COLPIPE-JYT-350</t>
        </is>
      </c>
      <c r="B131" s="37" t="inlineStr">
        <is>
          <t>Column Pipe - Jyoti 350TE1A4 (per section)</t>
        </is>
      </c>
      <c r="C131" s="37" t="n"/>
      <c r="D131" s="37" t="inlineStr">
        <is>
          <t>Piping</t>
        </is>
      </c>
      <c r="E131" s="37" t="inlineStr">
        <is>
          <t>Column Pipe</t>
        </is>
      </c>
      <c r="F131" s="37" t="inlineStr">
        <is>
          <t>Jyoti 350TE1A4 (7-Stage VTP)</t>
        </is>
      </c>
      <c r="G131" s="37" t="inlineStr">
        <is>
          <t>Jyoti Ltd</t>
        </is>
      </c>
      <c r="H131" s="37" t="n">
        <v>13</v>
      </c>
      <c r="I131" s="37" t="inlineStr">
        <is>
          <t>EA</t>
        </is>
      </c>
      <c r="J131" s="37" t="inlineStr">
        <is>
          <t>ERW Steel Pipe</t>
        </is>
      </c>
      <c r="K131" s="37" t="n"/>
      <c r="L131" s="37" t="n"/>
      <c r="M131" s="37" t="inlineStr">
        <is>
          <t>Item 1 from BOM; 12x1500mm + 1x1100mm = 19100mm total; Ø200mm NB column pipe; ERW steel pipe</t>
        </is>
      </c>
    </row>
    <row r="132">
      <c r="A132" s="37" t="inlineStr">
        <is>
          <t>DHEAD-JYT-350</t>
        </is>
      </c>
      <c r="B132" s="37" t="inlineStr">
        <is>
          <t>Discharge Head Body DS-200 - Jyoti 350TE1A4</t>
        </is>
      </c>
      <c r="C132" s="37" t="n"/>
      <c r="D132" s="37" t="inlineStr">
        <is>
          <t>Casing</t>
        </is>
      </c>
      <c r="E132" s="37" t="inlineStr">
        <is>
          <t>Discharge Head</t>
        </is>
      </c>
      <c r="F132" s="37" t="inlineStr">
        <is>
          <t>Jyoti 350TE1A4 (7-Stage VTP)</t>
        </is>
      </c>
      <c r="G132" s="37" t="inlineStr">
        <is>
          <t>Jyoti Ltd</t>
        </is>
      </c>
      <c r="H132" s="37" t="n">
        <v>1</v>
      </c>
      <c r="I132" s="37" t="inlineStr">
        <is>
          <t>EA</t>
        </is>
      </c>
      <c r="J132" s="37" t="inlineStr">
        <is>
          <t>CI FG 200 IS:210</t>
        </is>
      </c>
      <c r="K132" s="37" t="n"/>
      <c r="L132" s="37" t="n"/>
      <c r="M132" s="37" t="inlineStr">
        <is>
          <t>Item 2" from BOM; discharge head body DS-200; square port opening 410x410; CI FG 200; delivery flange OD Ø343mm; ID Ø200mm; PCD Ø292mm; 8 holes M16</t>
        </is>
      </c>
    </row>
    <row r="133">
      <c r="A133" s="37" t="inlineStr">
        <is>
          <t>MOT-JYT-350</t>
        </is>
      </c>
      <c r="B133" s="37" t="inlineStr">
        <is>
          <t>Motor 160kW CUTF315 Solid Shaft VTP - Jyoti 350TE1A4</t>
        </is>
      </c>
      <c r="C133" s="37" t="inlineStr">
        <is>
          <t>P31722/1</t>
        </is>
      </c>
      <c r="D133" s="37" t="inlineStr">
        <is>
          <t>Motor</t>
        </is>
      </c>
      <c r="E133" s="37" t="inlineStr">
        <is>
          <t>LT Induction Motor</t>
        </is>
      </c>
      <c r="F133" s="37" t="inlineStr">
        <is>
          <t>Jyoti 350TE1A4 (7-Stage VTP)</t>
        </is>
      </c>
      <c r="G133" s="37" t="inlineStr">
        <is>
          <t>Jyoti Ltd</t>
        </is>
      </c>
      <c r="H133" s="37" t="n">
        <v>1</v>
      </c>
      <c r="I133" s="37" t="inlineStr">
        <is>
          <t>EA</t>
        </is>
      </c>
      <c r="J133" s="37" t="inlineStr">
        <is>
          <t>Cast Iron Frame</t>
        </is>
      </c>
      <c r="K133" s="37" t="n">
        <v>1350</v>
      </c>
      <c r="L133" s="37" t="n"/>
      <c r="M133" s="37" t="inlineStr">
        <is>
          <t>Frame CUTF315 (IE-III); solid shaft type; 160kW / 215hp; 4-pole; 1480rpm; Motor weight 1350kg; Static load: 46.11kN; Dynamic horiz @duty: 9.98kN; Dynamic vert @duty: 88.26kN; Foundation bolts 4x AM24x500mm (not in Jyoti scope)</t>
        </is>
      </c>
    </row>
    <row r="134">
      <c r="A134" s="37" t="inlineStr">
        <is>
          <t>ASM-JYT-350TE1A4</t>
        </is>
      </c>
      <c r="B134" s="37" t="inlineStr">
        <is>
          <t>Complete Pump Package - Jyoti 350TE1A4</t>
        </is>
      </c>
      <c r="C134" s="37" t="inlineStr">
        <is>
          <t>SP-PT25-P31722/1</t>
        </is>
      </c>
      <c r="D134" s="37" t="inlineStr">
        <is>
          <t>Assembly</t>
        </is>
      </c>
      <c r="E134" s="37" t="inlineStr">
        <is>
          <t>Complete Package</t>
        </is>
      </c>
      <c r="F134" s="37" t="inlineStr">
        <is>
          <t>Jyoti 350TE1A4 (7-Stage VTP)</t>
        </is>
      </c>
      <c r="G134" s="37" t="inlineStr">
        <is>
          <t>Jyoti Ltd</t>
        </is>
      </c>
      <c r="H134" s="37" t="n">
        <v>1</v>
      </c>
      <c r="I134" s="37" t="inlineStr">
        <is>
          <t>PKG</t>
        </is>
      </c>
      <c r="J134" s="37" t="inlineStr">
        <is>
          <t>Various</t>
        </is>
      </c>
      <c r="K134" s="37" t="n">
        <v>4700</v>
      </c>
      <c r="L134" s="37" t="n"/>
      <c r="M134" s="37" t="inlineStr">
        <is>
          <t>Total: Pump 3350kg + Motor 1350kg = 4700kg; 2 nos for MP Jal Nigam Pawai; Customer: Zetwerk; Report SP-PT25-P31722/1 Rev R0 dated 30-06-2025; Drawing GA/CS-2021</t>
        </is>
      </c>
    </row>
    <row r="135">
      <c r="A135" s="37" t="inlineStr">
        <is>
          <t>PUMP-WILO-MPS3</t>
        </is>
      </c>
      <c r="B135" s="37" t="inlineStr">
        <is>
          <t>Pump Assembly - Wilo MPS-3 1-Stage VTP</t>
        </is>
      </c>
      <c r="C135" s="37" t="inlineStr">
        <is>
          <t>81332087-10 GA</t>
        </is>
      </c>
      <c r="D135" s="37" t="inlineStr">
        <is>
          <t>Pump</t>
        </is>
      </c>
      <c r="E135" s="37" t="inlineStr">
        <is>
          <t>Vertical Turbine Pump</t>
        </is>
      </c>
      <c r="F135" s="37" t="inlineStr">
        <is>
          <t>Wilo MPS-3 1-Stage VTP</t>
        </is>
      </c>
      <c r="G135" s="37" t="inlineStr">
        <is>
          <t>Wilo Mather &amp; Platt Pumps Pvt Ltd</t>
        </is>
      </c>
      <c r="H135" s="37" t="n">
        <v>1</v>
      </c>
      <c r="I135" s="37" t="inlineStr">
        <is>
          <t>EA</t>
        </is>
      </c>
      <c r="J135" s="37" t="inlineStr">
        <is>
          <t>Various (See Components)</t>
        </is>
      </c>
      <c r="K135" s="37" t="n"/>
      <c r="L135" s="37" t="n"/>
      <c r="M135" s="37" t="inlineStr">
        <is>
          <t>Sauni Yojana Link-2 Package-9; FPS-8 Shell Dedumal; Q=68 m3/h; H=68m; Speed=1482rpm; Motor=260kW; VTP 1-stage; bore 450mm NB; antifriction oil lube; direction CW from top; Frame VPC710; Wilo SO 81332087; Base frame added per revision (8mm to 14mm thickness); column pipe 1200x3+1000x1=4600mm; delivery pipe 1500mm+1990mm</t>
        </is>
      </c>
    </row>
    <row r="136">
      <c r="A136" s="37" t="inlineStr">
        <is>
          <t>DHEAD-WILO-MPS3</t>
        </is>
      </c>
      <c r="B136" s="37" t="inlineStr">
        <is>
          <t>Discharge Head / Motor Stool MPS-3</t>
        </is>
      </c>
      <c r="C136" s="37" t="n"/>
      <c r="D136" s="37" t="inlineStr">
        <is>
          <t>Casing</t>
        </is>
      </c>
      <c r="E136" s="37" t="inlineStr">
        <is>
          <t>Discharge Head</t>
        </is>
      </c>
      <c r="F136" s="37" t="inlineStr">
        <is>
          <t>Wilo MPS-3 1-Stage VTP</t>
        </is>
      </c>
      <c r="G136" s="37" t="inlineStr">
        <is>
          <t>Wilo Mather &amp; Platt Pumps Pvt Ltd</t>
        </is>
      </c>
      <c r="H136" s="37" t="n">
        <v>1</v>
      </c>
      <c r="I136" s="37" t="inlineStr">
        <is>
          <t>EA</t>
        </is>
      </c>
      <c r="J136" s="37" t="inlineStr">
        <is>
          <t>MS Fab / CI</t>
        </is>
      </c>
      <c r="K136" s="37" t="n"/>
      <c r="L136" s="37" t="n"/>
      <c r="M136" s="37" t="inlineStr">
        <is>
          <t>From GAD 81332087-10; delivery pipe; 450mm bore; square port opening; plan view base frame 2100 CTC x 2200 SQ; coupling end detail 45mm bore; foundation bolt holes 16 Nos M30 drill</t>
        </is>
      </c>
    </row>
    <row r="137">
      <c r="A137" s="37" t="inlineStr">
        <is>
          <t>MOT-WILO-MPS3</t>
        </is>
      </c>
      <c r="B137" s="37" t="inlineStr">
        <is>
          <t>Motor 260kW VPC710 (Hollow/Solid Shaft) MPS-3</t>
        </is>
      </c>
      <c r="C137" s="37" t="n"/>
      <c r="D137" s="37" t="inlineStr">
        <is>
          <t>Motor</t>
        </is>
      </c>
      <c r="E137" s="37" t="inlineStr">
        <is>
          <t>LT/HT Induction Motor</t>
        </is>
      </c>
      <c r="F137" s="37" t="inlineStr">
        <is>
          <t>Wilo MPS-3 1-Stage VTP</t>
        </is>
      </c>
      <c r="G137" s="37" t="inlineStr">
        <is>
          <t>Wilo Mather &amp; Platt Pumps Pvt Ltd</t>
        </is>
      </c>
      <c r="H137" s="37" t="n">
        <v>1</v>
      </c>
      <c r="I137" s="37" t="inlineStr">
        <is>
          <t>EA</t>
        </is>
      </c>
      <c r="J137" s="37" t="inlineStr">
        <is>
          <t>Cast Iron Frame</t>
        </is>
      </c>
      <c r="K137" s="37" t="n"/>
      <c r="L137" s="37" t="n"/>
      <c r="M137" s="37" t="inlineStr">
        <is>
          <t>From GAD 81332087-10; 260kW; frame VPC710; CGL make; 4-pole; antifriction oil lubricated; Motor stool connection; coupling end dimensions: pump shaft bore 45mm; motor shaft bore 100mm; coupling details per GAD</t>
        </is>
      </c>
    </row>
    <row r="138">
      <c r="A138" s="37" t="inlineStr">
        <is>
          <t>ASM-WILO-MPS3</t>
        </is>
      </c>
      <c r="B138" s="37" t="inlineStr">
        <is>
          <t>Complete Pump Package - Wilo MPS-3 VTP</t>
        </is>
      </c>
      <c r="C138" s="37" t="inlineStr">
        <is>
          <t>81332087-10</t>
        </is>
      </c>
      <c r="D138" s="37" t="inlineStr">
        <is>
          <t>Assembly</t>
        </is>
      </c>
      <c r="E138" s="37" t="inlineStr">
        <is>
          <t>Complete Package</t>
        </is>
      </c>
      <c r="F138" s="37" t="inlineStr">
        <is>
          <t>Wilo MPS-3 1-Stage VTP</t>
        </is>
      </c>
      <c r="G138" s="37" t="inlineStr">
        <is>
          <t>Wilo Mather &amp; Platt Pumps Pvt Ltd</t>
        </is>
      </c>
      <c r="H138" s="37" t="n">
        <v>1</v>
      </c>
      <c r="I138" s="37" t="inlineStr">
        <is>
          <t>PKG</t>
        </is>
      </c>
      <c r="J138" s="37" t="inlineStr">
        <is>
          <t>Various</t>
        </is>
      </c>
      <c r="K138" s="37" t="n"/>
      <c r="L138" s="37" t="n"/>
      <c r="M138" s="37" t="inlineStr">
        <is>
          <t>Sauni Yojana Link-2 Package-9; FPS-8 Shell Dedumal; approved by Bhavnagar Irrigation Project Division (Approval 9-35 dated 11/09/2023); TPI: Technomen Consultants; Drawing 81332087-10 GA Rev 03</t>
        </is>
      </c>
    </row>
    <row r="139">
      <c r="A139" t="inlineStr">
        <is>
          <t>PUMP-KSB-WKT809</t>
        </is>
      </c>
      <c r="B139" t="inlineStr">
        <is>
          <t>Pump Assembly - KSB WKT 80/9 Live Steam Condensate</t>
        </is>
      </c>
      <c r="C139" t="inlineStr">
        <is>
          <t>9975603447/300/400</t>
        </is>
      </c>
      <c r="D139" t="inlineStr">
        <is>
          <t>Pump</t>
        </is>
      </c>
      <c r="E139" t="inlineStr">
        <is>
          <t>Vertical Turbine Pump VS6</t>
        </is>
      </c>
      <c r="F139" t="inlineStr">
        <is>
          <t>KSB WKT 80/9 (Live Steam Condensate)</t>
        </is>
      </c>
      <c r="G139" t="inlineStr">
        <is>
          <t>KSB Limited (India)</t>
        </is>
      </c>
      <c r="H139" t="n">
        <v>1</v>
      </c>
      <c r="I139" t="inlineStr">
        <is>
          <t>EA</t>
        </is>
      </c>
      <c r="J139" t="inlineStr">
        <is>
          <t>Various SS304 (See Components)</t>
        </is>
      </c>
      <c r="K139" t="n">
        <v>1561</v>
      </c>
      <c r="M139" t="inlineStr">
        <is>
          <t>NALCO Alumina Refinery Stream-5 | Tags 08PU-J5821A/B &amp; 08PU-K5821A/B | Qty 4 (2 per unit J&amp;K) | Service: Live Steam Condensate | Q=44.5 m3/h | H=113.2m | Speed=1480rpm | BKW=24.26kW | Motor=30kW | Eff=75% | Sealing: Plan 13+61 | Direction: CCW from coupling end | API 610 VS6 | Double-casing diffuser inline suction/discharge</t>
        </is>
      </c>
    </row>
    <row r="140">
      <c r="A140" t="inlineStr">
        <is>
          <t>BOWL-KSB-WKT809</t>
        </is>
      </c>
      <c r="B140" t="inlineStr">
        <is>
          <t>Bowl Assembly - KSB WKT 80/9</t>
        </is>
      </c>
      <c r="D140" t="inlineStr">
        <is>
          <t>Casing</t>
        </is>
      </c>
      <c r="E140" t="inlineStr">
        <is>
          <t>Bowl/Stage Casing</t>
        </is>
      </c>
      <c r="F140" t="inlineStr">
        <is>
          <t>KSB WKT 80/9 (Live Steam Condensate)</t>
        </is>
      </c>
      <c r="G140" t="inlineStr">
        <is>
          <t>KSB Limited (India)</t>
        </is>
      </c>
      <c r="H140" t="n">
        <v>1</v>
      </c>
      <c r="I140" t="inlineStr">
        <is>
          <t>EA</t>
        </is>
      </c>
      <c r="J140" t="inlineStr">
        <is>
          <t>SS304</t>
        </is>
      </c>
      <c r="M140" t="inlineStr">
        <is>
          <t>Includes bowl shaft SS304, bowl SS304, suction bell SS304; double-casing diffuser type; bearing sleeve VTA; bowl wear ring VTA; O-ring VTA</t>
        </is>
      </c>
    </row>
    <row r="141">
      <c r="A141" t="inlineStr">
        <is>
          <t>IMP-KSB-WKT809</t>
        </is>
      </c>
      <c r="B141" t="inlineStr">
        <is>
          <t>Impeller - KSB WKT 80/9</t>
        </is>
      </c>
      <c r="D141" t="inlineStr">
        <is>
          <t>Impeller</t>
        </is>
      </c>
      <c r="E141" t="inlineStr">
        <is>
          <t>Closed Impeller</t>
        </is>
      </c>
      <c r="F141" t="inlineStr">
        <is>
          <t>KSB WKT 80/9 (Live Steam Condensate)</t>
        </is>
      </c>
      <c r="G141" t="inlineStr">
        <is>
          <t>KSB Limited (India)</t>
        </is>
      </c>
      <c r="H141" t="n">
        <v>1</v>
      </c>
      <c r="I141" t="inlineStr">
        <is>
          <t>EA</t>
        </is>
      </c>
      <c r="J141" t="inlineStr">
        <is>
          <t>SS304</t>
        </is>
      </c>
      <c r="M141" t="inlineStr">
        <is>
          <t>SS304; impeller dia VTA (min/max per vendor); closed type; condensate water service; temp 136°C rated / 148°C max</t>
        </is>
      </c>
    </row>
    <row r="142">
      <c r="A142" t="inlineStr">
        <is>
          <t>COL-KSB-WKT809</t>
        </is>
      </c>
      <c r="B142" t="inlineStr">
        <is>
          <t>Column Pipe Assembly - KSB WKT 80/9</t>
        </is>
      </c>
      <c r="D142" t="inlineStr">
        <is>
          <t>Piping</t>
        </is>
      </c>
      <c r="E142" t="inlineStr">
        <is>
          <t>Column Assembly</t>
        </is>
      </c>
      <c r="F142" t="inlineStr">
        <is>
          <t>KSB WKT 80/9 (Live Steam Condensate)</t>
        </is>
      </c>
      <c r="G142" t="inlineStr">
        <is>
          <t>KSB Limited (India)</t>
        </is>
      </c>
      <c r="H142" t="n">
        <v>1</v>
      </c>
      <c r="I142" t="inlineStr">
        <is>
          <t>EA</t>
        </is>
      </c>
      <c r="J142" t="inlineStr">
        <is>
          <t>SS304 / SS316</t>
        </is>
      </c>
      <c r="M142" t="inlineStr">
        <is>
          <t>Column pipe SS304; line shaft SS304; bearing retainer VTA; bearing sleeve (line shaft) VTA; shaft sleeve SS316; shaft coupling SS316; fasteners SS316</t>
        </is>
      </c>
    </row>
    <row r="143">
      <c r="A143" t="inlineStr">
        <is>
          <t>DHEAD-KSB-WKT809</t>
        </is>
      </c>
      <c r="B143" t="inlineStr">
        <is>
          <t>Discharge Head Assembly - KSB WKT 80/9</t>
        </is>
      </c>
      <c r="D143" t="inlineStr">
        <is>
          <t>Casing</t>
        </is>
      </c>
      <c r="E143" t="inlineStr">
        <is>
          <t>Discharge Head</t>
        </is>
      </c>
      <c r="F143" t="inlineStr">
        <is>
          <t>KSB WKT 80/9 (Live Steam Condensate)</t>
        </is>
      </c>
      <c r="G143" t="inlineStr">
        <is>
          <t>KSB Limited (India)</t>
        </is>
      </c>
      <c r="H143" t="n">
        <v>1</v>
      </c>
      <c r="I143" t="inlineStr">
        <is>
          <t>EA</t>
        </is>
      </c>
      <c r="J143" t="inlineStr">
        <is>
          <t>SS304</t>
        </is>
      </c>
      <c r="M143" t="inlineStr">
        <is>
          <t>Discharge head SS304; top shaft VTA; seat chamber/stuffing box assembly VTA; drain connection N8 NPT 1/2" plugged; vent connection N1 Adaptor NPT 3/4" KSB scope; inline suction and discharge nozzles per API 610 VS6</t>
        </is>
      </c>
    </row>
    <row r="144">
      <c r="A144" t="inlineStr">
        <is>
          <t>SEAL-KSB-WKT809</t>
        </is>
      </c>
      <c r="B144" t="inlineStr">
        <is>
          <t>Mechanical Seal + Plan 13+61 - KSB WKT 80/9</t>
        </is>
      </c>
      <c r="D144" t="inlineStr">
        <is>
          <t>Seal</t>
        </is>
      </c>
      <c r="E144" t="inlineStr">
        <is>
          <t>Mechanical Seal</t>
        </is>
      </c>
      <c r="F144" t="inlineStr">
        <is>
          <t>KSB WKT 80/9 (Live Steam Condensate)</t>
        </is>
      </c>
      <c r="G144" t="inlineStr">
        <is>
          <t>KSB Limited (India)</t>
        </is>
      </c>
      <c r="H144" t="n">
        <v>1</v>
      </c>
      <c r="I144" t="inlineStr">
        <is>
          <t>EA</t>
        </is>
      </c>
      <c r="J144" t="inlineStr">
        <is>
          <t>VTA</t>
        </is>
      </c>
      <c r="M144" t="inlineStr">
        <is>
          <t>Mechanical seal; API Plan 13 (recirculation from mech seal through orifice to pump suction DN5) + Plan 61 (vent/inlet/drain NPT 1/2" plugged); flushing plan VTA; seal cooling plan VTA</t>
        </is>
      </c>
    </row>
    <row r="145">
      <c r="A145" t="inlineStr">
        <is>
          <t>STRNR-KSB-WKT809</t>
        </is>
      </c>
      <c r="B145" t="inlineStr">
        <is>
          <t>Suction Strainer (Start-up) - KSB WKT 80/9</t>
        </is>
      </c>
      <c r="D145" t="inlineStr">
        <is>
          <t>Strainer</t>
        </is>
      </c>
      <c r="E145" t="inlineStr">
        <is>
          <t>Start-up Strainer</t>
        </is>
      </c>
      <c r="F145" t="inlineStr">
        <is>
          <t>KSB WKT 80/9 (Live Steam Condensate)</t>
        </is>
      </c>
      <c r="G145" t="inlineStr">
        <is>
          <t>KSB Limited (India)</t>
        </is>
      </c>
      <c r="H145" t="n">
        <v>1</v>
      </c>
      <c r="I145" t="inlineStr">
        <is>
          <t>EA</t>
        </is>
      </c>
      <c r="J145" t="inlineStr">
        <is>
          <t>VTA</t>
        </is>
      </c>
      <c r="M145" t="inlineStr">
        <is>
          <t>Start-up strainer type; body MOC VTA; strainer MOC VTA; mesh micron VTA; end connection flanged 125-250 AARH; KSB scope of supply</t>
        </is>
      </c>
    </row>
    <row r="146">
      <c r="A146" t="inlineStr">
        <is>
          <t>CPL-KSB-WKT809</t>
        </is>
      </c>
      <c r="B146" t="inlineStr">
        <is>
          <t>Coupling &amp; Coupling Guard - KSB WKT 80/9</t>
        </is>
      </c>
      <c r="C146" t="inlineStr">
        <is>
          <t>REM 65-250 B/B</t>
        </is>
      </c>
      <c r="D146" t="inlineStr">
        <is>
          <t>Coupling</t>
        </is>
      </c>
      <c r="E146" t="inlineStr">
        <is>
          <t>Flexible Coupling</t>
        </is>
      </c>
      <c r="F146" t="inlineStr">
        <is>
          <t>KSB WKT 80/9 (Live Steam Condensate)</t>
        </is>
      </c>
      <c r="G146" t="inlineStr">
        <is>
          <t>KSB Limited (India)</t>
        </is>
      </c>
      <c r="H146" t="n">
        <v>1</v>
      </c>
      <c r="I146" t="inlineStr">
        <is>
          <t>EA</t>
        </is>
      </c>
      <c r="J146" t="inlineStr">
        <is>
          <t>Steel/Rubber</t>
        </is>
      </c>
      <c r="M146" t="inlineStr">
        <is>
          <t>Coupling REM 65-250 B/B; GD² of coupling = 0.013 kgm²; coupling guard included; flexible coupling with spacer type; KSB scope</t>
        </is>
      </c>
    </row>
    <row r="147">
      <c r="A147" t="inlineStr">
        <is>
          <t>MOT-ABB-30KW-WKT</t>
        </is>
      </c>
      <c r="B147" t="inlineStr">
        <is>
          <t>Motor ABB 30kW Frame 225 M 415V 1480rpm</t>
        </is>
      </c>
      <c r="D147" t="inlineStr">
        <is>
          <t>Motor</t>
        </is>
      </c>
      <c r="E147" t="inlineStr">
        <is>
          <t>LT Induction Motor</t>
        </is>
      </c>
      <c r="F147" t="inlineStr">
        <is>
          <t>KSB WKT 80/9 (Live Steam Condensate)</t>
        </is>
      </c>
      <c r="G147" t="inlineStr">
        <is>
          <t>KSB Limited (India)</t>
        </is>
      </c>
      <c r="H147" t="n">
        <v>1</v>
      </c>
      <c r="I147" t="inlineStr">
        <is>
          <t>EA</t>
        </is>
      </c>
      <c r="J147" t="inlineStr">
        <is>
          <t>Cast Iron Frame</t>
        </is>
      </c>
      <c r="K147" t="n">
        <v>171</v>
      </c>
      <c r="M147" t="inlineStr">
        <is>
          <t>Make: ABB; Frame size: 225 M; 30kW; 415V/3Ph/50Hz; 1440/1480rpm; Weight motor=171kg; Weight pump barrel+column pipe=1390kg; Motor lantern+base frame+coupling=~170kg approx; GD²pump=0.2454 kgm²; Total weight=1561kg; Direction CCW from coupling end; TEFC enclosure; ambient 50°C; squirrel cage</t>
        </is>
      </c>
    </row>
    <row r="148">
      <c r="A148" t="inlineStr">
        <is>
          <t>BASE-KSB-WKT809</t>
        </is>
      </c>
      <c r="B148" t="inlineStr">
        <is>
          <t>Motor Lantern + Base Frame + Mounting Plate - KSB WKT 80/9</t>
        </is>
      </c>
      <c r="D148" t="inlineStr">
        <is>
          <t>Baseplate</t>
        </is>
      </c>
      <c r="E148" t="inlineStr">
        <is>
          <t>Motor Lantern/Base Frame</t>
        </is>
      </c>
      <c r="F148" t="inlineStr">
        <is>
          <t>KSB WKT 80/9 (Live Steam Condensate)</t>
        </is>
      </c>
      <c r="G148" t="inlineStr">
        <is>
          <t>KSB Limited (India)</t>
        </is>
      </c>
      <c r="H148" t="n">
        <v>1</v>
      </c>
      <c r="I148" t="inlineStr">
        <is>
          <t>EA</t>
        </is>
      </c>
      <c r="J148" t="inlineStr">
        <is>
          <t>Mild Steel Fabricated</t>
        </is>
      </c>
      <c r="M148" t="inlineStr">
        <is>
          <t>Motor lantern + base frame + coupling included in scope; base frame pad welded on channel (KSB scope); barrel top plate KSB scope; square base frame channel IS MC 200; mounting plate by KSB; fixing stud M20x70 LG; FFL +930.300m; concrete block by others</t>
        </is>
      </c>
    </row>
    <row r="149">
      <c r="A149" t="inlineStr">
        <is>
          <t>FLG-KSB-WKT809-D</t>
        </is>
      </c>
      <c r="B149" t="inlineStr">
        <is>
          <t>Counter Flange Discharge CL150 RF - KSB WKT 80/9</t>
        </is>
      </c>
      <c r="D149" t="inlineStr">
        <is>
          <t>Flange</t>
        </is>
      </c>
      <c r="E149" t="inlineStr">
        <is>
          <t>Counter Flange</t>
        </is>
      </c>
      <c r="F149" t="inlineStr">
        <is>
          <t>KSB WKT 80/9 (Live Steam Condensate)</t>
        </is>
      </c>
      <c r="G149" t="inlineStr">
        <is>
          <t>KSB Limited (India)</t>
        </is>
      </c>
      <c r="H149" t="n">
        <v>1</v>
      </c>
      <c r="I149" t="inlineStr">
        <is>
          <t>EA</t>
        </is>
      </c>
      <c r="J149" t="inlineStr">
        <is>
          <t>ASTM A216 WCB</t>
        </is>
      </c>
      <c r="M149" t="inlineStr">
        <is>
          <t>Discharge counter flange DN100; CL150 RF; OD 229mm; PCD 190.5mm; Thk 23.9mm; 8 holes Ø19mm; ASME B16.5-250 AARH; loose supplied; nozzle loads: Fx=200N, Fy=260N, Fz=200N; Mx=150Nm, My=150Nm, Mz=150Nm</t>
        </is>
      </c>
    </row>
    <row r="150">
      <c r="A150" t="inlineStr">
        <is>
          <t>FLG-KSB-WKT809-S</t>
        </is>
      </c>
      <c r="B150" t="inlineStr">
        <is>
          <t>Counter Flange Suction CL150 RF - KSB WKT 80/9</t>
        </is>
      </c>
      <c r="D150" t="inlineStr">
        <is>
          <t>Flange</t>
        </is>
      </c>
      <c r="E150" t="inlineStr">
        <is>
          <t>Counter Flange</t>
        </is>
      </c>
      <c r="F150" t="inlineStr">
        <is>
          <t>KSB WKT 80/9 (Live Steam Condensate)</t>
        </is>
      </c>
      <c r="G150" t="inlineStr">
        <is>
          <t>KSB Limited (India)</t>
        </is>
      </c>
      <c r="H150" t="n">
        <v>1</v>
      </c>
      <c r="I150" t="inlineStr">
        <is>
          <t>EA</t>
        </is>
      </c>
      <c r="J150" t="inlineStr">
        <is>
          <t>ASTM A216 WCB</t>
        </is>
      </c>
      <c r="M150" t="inlineStr">
        <is>
          <t>Suction counter flange DN150; CL150 RF; OD 279mm; PCD 241.3mm; Thk 25.4mm; 8 holes Ø22mm; ASME B16.5-250 AARH; loose supplied</t>
        </is>
      </c>
    </row>
    <row r="151">
      <c r="A151" t="inlineStr">
        <is>
          <t>ASM-KSB-WKT809</t>
        </is>
      </c>
      <c r="B151" t="inlineStr">
        <is>
          <t>Complete Pump Package - KSB WKT 80/9</t>
        </is>
      </c>
      <c r="C151" t="inlineStr">
        <is>
          <t>9975603447/300</t>
        </is>
      </c>
      <c r="D151" t="inlineStr">
        <is>
          <t>Assembly</t>
        </is>
      </c>
      <c r="E151" t="inlineStr">
        <is>
          <t>Complete Package</t>
        </is>
      </c>
      <c r="F151" t="inlineStr">
        <is>
          <t>KSB WKT 80/9 (Live Steam Condensate)</t>
        </is>
      </c>
      <c r="G151" t="inlineStr">
        <is>
          <t>KSB Limited (India)</t>
        </is>
      </c>
      <c r="H151" t="n">
        <v>1</v>
      </c>
      <c r="I151" t="inlineStr">
        <is>
          <t>PKG</t>
        </is>
      </c>
      <c r="J151" t="inlineStr">
        <is>
          <t>Various</t>
        </is>
      </c>
      <c r="K151" t="n">
        <v>1561</v>
      </c>
      <c r="M151" t="inlineStr">
        <is>
          <t>Total weight 1561kg: Motor 171kg + Pump barrel+column 1390kg; Scope: pump+mech seal+Plan13+coupling+guard+motor+motor stool+base frame+suction/discharge counter flanges; Dynamic load per foundation bolt=80kgf; Static load per foundation bolt=84.5kgf; Connections N1(vent) N2(N/A) N3(plan13) N8(drain); Document F9975603447-300-1 As Built; Client PO ZET-OD-KSB2-1 DT.19/10/2024</t>
        </is>
      </c>
    </row>
    <row r="152">
      <c r="A152" t="inlineStr">
        <is>
          <t>PUMP-KSB-STGC</t>
        </is>
      </c>
      <c r="B152" t="inlineStr">
        <is>
          <t>Pump Assembly - KSB STGC 050-160-CC-WDL Acid Sump</t>
        </is>
      </c>
      <c r="C152" t="inlineStr">
        <is>
          <t>9975641078/0100</t>
        </is>
      </c>
      <c r="D152" t="inlineStr">
        <is>
          <t>Pump</t>
        </is>
      </c>
      <c r="E152" t="inlineStr">
        <is>
          <t>Vertical Sump Pump VS6</t>
        </is>
      </c>
      <c r="F152" t="inlineStr">
        <is>
          <t>KSB STGC 050-160-CC-WDL (Dilute Acid Sump)</t>
        </is>
      </c>
      <c r="G152" t="inlineStr">
        <is>
          <t>KSB Limited (India)</t>
        </is>
      </c>
      <c r="H152" t="n">
        <v>1</v>
      </c>
      <c r="I152" t="inlineStr">
        <is>
          <t>EA</t>
        </is>
      </c>
      <c r="J152" t="inlineStr">
        <is>
          <t>Various (See Components)</t>
        </is>
      </c>
      <c r="K152" t="n">
        <v>193</v>
      </c>
      <c r="M152" t="inlineStr">
        <is>
          <t>NALCO Alumina Refinery Stream-5 | Tag 08PU-J5893 | Qty 1 | Service: Dilute Sulphuric Acid Sump | Q=80 m3/h rated | H=30m | Speed=2940rpm | Motor=15kW | Weight pump empty=193kg; pump operating=243kg | FFL+930.300m; tank EL+928.290m; mounting plate by KSB; KSB S.O. 9975641078/0100; ZW drawing ZT2023.02-508-GA-ME-241; Client PO ZET-OD-KSB2-2 dt 09.12.2024</t>
        </is>
      </c>
    </row>
    <row r="153">
      <c r="A153" t="inlineStr">
        <is>
          <t>IMP-KSB-STGC</t>
        </is>
      </c>
      <c r="B153" t="inlineStr">
        <is>
          <t>Impeller - KSB STGC 050-160-CC-WDL</t>
        </is>
      </c>
      <c r="D153" t="inlineStr">
        <is>
          <t>Impeller</t>
        </is>
      </c>
      <c r="E153" t="inlineStr">
        <is>
          <t>Closed Impeller</t>
        </is>
      </c>
      <c r="F153" t="inlineStr">
        <is>
          <t>KSB STGC 050-160-CC-WDL (Dilute Acid Sump)</t>
        </is>
      </c>
      <c r="G153" t="inlineStr">
        <is>
          <t>KSB Limited (India)</t>
        </is>
      </c>
      <c r="H153" t="n">
        <v>1</v>
      </c>
      <c r="I153" t="inlineStr">
        <is>
          <t>EA</t>
        </is>
      </c>
      <c r="J153" t="inlineStr">
        <is>
          <t>MOC per KSB (acid service)</t>
        </is>
      </c>
      <c r="M153" t="inlineStr">
        <is>
          <t>Suitable for dilute sulphuric acid service; impeller dia VTA; closed type; 2940rpm high speed pump</t>
        </is>
      </c>
    </row>
    <row r="154">
      <c r="A154" t="inlineStr">
        <is>
          <t>SEAL-KSB-STGC</t>
        </is>
      </c>
      <c r="B154" t="inlineStr">
        <is>
          <t>Mechanical Seal - KSB STGC 050-160-CC-WDL</t>
        </is>
      </c>
      <c r="D154" t="inlineStr">
        <is>
          <t>Seal</t>
        </is>
      </c>
      <c r="E154" t="inlineStr">
        <is>
          <t>Mechanical Seal</t>
        </is>
      </c>
      <c r="F154" t="inlineStr">
        <is>
          <t>KSB STGC 050-160-CC-WDL (Dilute Acid Sump)</t>
        </is>
      </c>
      <c r="G154" t="inlineStr">
        <is>
          <t>KSB Limited (India)</t>
        </is>
      </c>
      <c r="H154" t="n">
        <v>1</v>
      </c>
      <c r="I154" t="inlineStr">
        <is>
          <t>EA</t>
        </is>
      </c>
      <c r="J154" t="inlineStr">
        <is>
          <t>Acid-resistant MOC</t>
        </is>
      </c>
      <c r="M154" t="inlineStr">
        <is>
          <t>Mechanical seal for dilute sulphuric acid service; seal plan VTA; KSB scope</t>
        </is>
      </c>
    </row>
    <row r="155">
      <c r="A155" t="inlineStr">
        <is>
          <t>CPL-KSB-STGC</t>
        </is>
      </c>
      <c r="B155" t="inlineStr">
        <is>
          <t>Coupling &amp; Guard - KSB STGC 050-160-CC-WDL</t>
        </is>
      </c>
      <c r="C155" t="inlineStr">
        <is>
          <t>RB (RATHI)</t>
        </is>
      </c>
      <c r="D155" t="inlineStr">
        <is>
          <t>Coupling</t>
        </is>
      </c>
      <c r="E155" t="inlineStr">
        <is>
          <t>Flexible Coupling</t>
        </is>
      </c>
      <c r="F155" t="inlineStr">
        <is>
          <t>KSB STGC 050-160-CC-WDL (Dilute Acid Sump)</t>
        </is>
      </c>
      <c r="G155" t="inlineStr">
        <is>
          <t>KSB Limited (India)</t>
        </is>
      </c>
      <c r="H155" t="n">
        <v>1</v>
      </c>
      <c r="I155" t="inlineStr">
        <is>
          <t>EA</t>
        </is>
      </c>
      <c r="J155" t="inlineStr">
        <is>
          <t>Steel/Rubber</t>
        </is>
      </c>
      <c r="M155" t="inlineStr">
        <is>
          <t>Coupling RB (Rathi); GD² pump=0.0434 kgm²; dynamic load per fixing bolt=3162 kgf; coupling guard KSB scope; 4 Nos M16 fixing bolts KSB scope</t>
        </is>
      </c>
    </row>
    <row r="156">
      <c r="A156" t="inlineStr">
        <is>
          <t>MOT-ABB-15KW-STGC</t>
        </is>
      </c>
      <c r="B156" t="inlineStr">
        <is>
          <t>Motor ABB 15kW Frame 160M 415V 2940rpm IE3</t>
        </is>
      </c>
      <c r="D156" t="inlineStr">
        <is>
          <t>Motor</t>
        </is>
      </c>
      <c r="E156" t="inlineStr">
        <is>
          <t>LT Induction Motor</t>
        </is>
      </c>
      <c r="F156" t="inlineStr">
        <is>
          <t>KSB STGC 050-160-CC-WDL (Dilute Acid Sump)</t>
        </is>
      </c>
      <c r="G156" t="inlineStr">
        <is>
          <t>ABB India Ltd</t>
        </is>
      </c>
      <c r="H156" t="n">
        <v>1</v>
      </c>
      <c r="I156" t="inlineStr">
        <is>
          <t>EA</t>
        </is>
      </c>
      <c r="J156" t="inlineStr">
        <is>
          <t>Cast Iron Frame</t>
        </is>
      </c>
      <c r="K156" t="n">
        <v>126</v>
      </c>
      <c r="M156" t="inlineStr">
        <is>
          <t>Make: ABB; Frame: 160M; 15kW; 2940rpm; TEFC IE3; Weight=126kg; Cable box position VTA; Clockwise rotation from DE; pump shaft end bore Ø24mm; motor shaft end bore Ø45mm; fixation holes Ø20; pump shaft end dim: 40-27-6-42-12; motor shaft end dim: 40-45-12; overall pump+motor height=2023mm (without motor)=1033mm; 4 Nos M16x200 fixing bolts Ø20 hole on mounting plate</t>
        </is>
      </c>
    </row>
    <row r="157">
      <c r="A157" t="inlineStr">
        <is>
          <t>BASE-KSB-STGC</t>
        </is>
      </c>
      <c r="B157" t="inlineStr">
        <is>
          <t>Mounting Plate &amp; Hardware - KSB STGC 050-160-CC-WDL</t>
        </is>
      </c>
      <c r="D157" t="inlineStr">
        <is>
          <t>Baseplate</t>
        </is>
      </c>
      <c r="E157" t="inlineStr">
        <is>
          <t>Mounting Plate</t>
        </is>
      </c>
      <c r="F157" t="inlineStr">
        <is>
          <t>KSB STGC 050-160-CC-WDL (Dilute Acid Sump)</t>
        </is>
      </c>
      <c r="G157" t="inlineStr">
        <is>
          <t>KSB Limited (India)</t>
        </is>
      </c>
      <c r="H157" t="n">
        <v>1</v>
      </c>
      <c r="I157" t="inlineStr">
        <is>
          <t>EA</t>
        </is>
      </c>
      <c r="J157" t="inlineStr">
        <is>
          <t>Steel</t>
        </is>
      </c>
      <c r="M157" t="inlineStr">
        <is>
          <t>Mounting plate by KSB; 4 Nos M16 fixing bolts KSB scope; Ø20 holes on mounting plate; hardware M20 MOC 4.6+A2A; PC Ø300mm; top flange of motor lantern Ø350mm; min liquid level 240mm; tank thickness 10mm; installation depth from FFL to tank bottom=1973mm; height HL to LL=700mm</t>
        </is>
      </c>
    </row>
    <row r="158">
      <c r="A158" t="inlineStr">
        <is>
          <t>FLG-KSB-STGC-D</t>
        </is>
      </c>
      <c r="B158" t="inlineStr">
        <is>
          <t>Discharge Flange DN65 - KSB STGC 050-160-CC-WDL</t>
        </is>
      </c>
      <c r="D158" t="inlineStr">
        <is>
          <t>Flange</t>
        </is>
      </c>
      <c r="E158" t="inlineStr">
        <is>
          <t>Discharge Nozzle</t>
        </is>
      </c>
      <c r="F158" t="inlineStr">
        <is>
          <t>KSB STGC 050-160-CC-WDL (Dilute Acid Sump)</t>
        </is>
      </c>
      <c r="G158" t="inlineStr">
        <is>
          <t>KSB Limited (India)</t>
        </is>
      </c>
      <c r="H158" t="n">
        <v>1</v>
      </c>
      <c r="I158" t="inlineStr">
        <is>
          <t>EA</t>
        </is>
      </c>
      <c r="J158" t="inlineStr">
        <is>
          <t>KSB Standard</t>
        </is>
      </c>
      <c r="M158" t="inlineStr">
        <is>
          <t>Discharge nozzle DN65; flange drilling per ASME B16.5; OD=178mm; PCD=139.7mm; BCD=184.7mm; 4 holes Ø19; forces: Fy=893N, Fz=1103N, Fx=971N; moments: My=420Nm, Mz=490Nm, Mx=700Nm</t>
        </is>
      </c>
    </row>
    <row r="159">
      <c r="A159" t="inlineStr">
        <is>
          <t>STRNR-KSB-STGC</t>
        </is>
      </c>
      <c r="B159" t="inlineStr">
        <is>
          <t>Pump Suction Strainer - KSB STGC 050-160-CC-WDL</t>
        </is>
      </c>
      <c r="D159" t="inlineStr">
        <is>
          <t>Strainer</t>
        </is>
      </c>
      <c r="E159" t="inlineStr">
        <is>
          <t>Suction Strainer</t>
        </is>
      </c>
      <c r="F159" t="inlineStr">
        <is>
          <t>KSB STGC 050-160-CC-WDL (Dilute Acid Sump)</t>
        </is>
      </c>
      <c r="G159" t="inlineStr">
        <is>
          <t>KSB Limited (India)</t>
        </is>
      </c>
      <c r="H159" t="n">
        <v>1</v>
      </c>
      <c r="I159" t="inlineStr">
        <is>
          <t>EA</t>
        </is>
      </c>
      <c r="J159" t="inlineStr">
        <is>
          <t>Acid-resistant MOC</t>
        </is>
      </c>
      <c r="M159" t="inlineStr">
        <is>
          <t>Suction strainer KSB scope; min overhead clearance with motor=2806mm; without motor=2221mm; pump installation depth 1973mm from FFL</t>
        </is>
      </c>
    </row>
    <row r="160">
      <c r="A160" t="inlineStr">
        <is>
          <t>ASM-KSB-STGC</t>
        </is>
      </c>
      <c r="B160" t="inlineStr">
        <is>
          <t>Complete Pump Package - KSB STGC 050-160-CC-WDL</t>
        </is>
      </c>
      <c r="C160" t="inlineStr">
        <is>
          <t>9975641078/0100</t>
        </is>
      </c>
      <c r="D160" t="inlineStr">
        <is>
          <t>Assembly</t>
        </is>
      </c>
      <c r="E160" t="inlineStr">
        <is>
          <t>Complete Package</t>
        </is>
      </c>
      <c r="F160" t="inlineStr">
        <is>
          <t>KSB STGC 050-160-CC-WDL (Dilute Acid Sump)</t>
        </is>
      </c>
      <c r="G160" t="inlineStr">
        <is>
          <t>KSB Limited (India)</t>
        </is>
      </c>
      <c r="H160" t="n">
        <v>1</v>
      </c>
      <c r="I160" t="inlineStr">
        <is>
          <t>PKG</t>
        </is>
      </c>
      <c r="J160" t="inlineStr">
        <is>
          <t>Various</t>
        </is>
      </c>
      <c r="K160" t="n">
        <v>319</v>
      </c>
      <c r="M160" t="inlineStr">
        <is>
          <t>Total weight 319kg: Pump empty 193kg + Operating 243kg + Motor 126kg; Scope: pump+suction strainer+coupling+coupling guard+motor+mounting plate+gasket+hardware+Ø20 fixing bolt M16x200; Document F9975641078-1 R5; ZW Drawing ZT2023.02-508-GA-ME-241</t>
        </is>
      </c>
    </row>
    <row r="161">
      <c r="A161" t="inlineStr">
        <is>
          <t>PUMP-KSB-PC5813</t>
        </is>
      </c>
      <c r="B161" t="inlineStr">
        <is>
          <t>Pump Assembly - KSB VS6 Process Condensate (DS-ME-115)</t>
        </is>
      </c>
      <c r="C161" t="inlineStr">
        <is>
          <t>ZT2023.02-508-DS-ME-115</t>
        </is>
      </c>
      <c r="D161" t="inlineStr">
        <is>
          <t>Pump</t>
        </is>
      </c>
      <c r="E161" t="inlineStr">
        <is>
          <t>Vertical Turbine Pump VS6</t>
        </is>
      </c>
      <c r="F161" t="inlineStr">
        <is>
          <t>KSB VS6 Process Condensate Pump</t>
        </is>
      </c>
      <c r="G161" t="inlineStr">
        <is>
          <t>KSB Limited (India)</t>
        </is>
      </c>
      <c r="H161" t="n">
        <v>1</v>
      </c>
      <c r="I161" t="inlineStr">
        <is>
          <t>EA</t>
        </is>
      </c>
      <c r="J161" t="inlineStr">
        <is>
          <t>Various CS/SS (See Components)</t>
        </is>
      </c>
      <c r="M161" t="inlineStr">
        <is>
          <t>NALCO Alumina Refinery Stream-5 | Tags 08PU-J5813A/B &amp; 08PU-K5813A/B | Qty 4 (2 per unit J&amp;K) | Service: Process Condensate | Q rated=172 m3/h; H rated=74.3m | Temp=47°C | Density=990 kg/m3 | Viscosity=0.6 mPa.s | VP=10 kPa(a) | Inlet pressure=-74 to -76 kPa(g) | NPSHA=0.5m | Speed=1450rpm | Motor=VTA(squirrel cage, 415V, 4-pole) | Noise ≤85 dB(A) | VSD driven (VSD by purchaser) | API 610 VS6 or equivalent | Doc ZT2023.02-508-DS-ME-115 Rev 3</t>
        </is>
      </c>
    </row>
    <row r="162">
      <c r="A162" t="inlineStr">
        <is>
          <t>CAS-KSB-PC5813</t>
        </is>
      </c>
      <c r="B162" t="inlineStr">
        <is>
          <t>Casing Assembly (Suction/Stage/Discharge) - KSB VS6 PC</t>
        </is>
      </c>
      <c r="D162" t="inlineStr">
        <is>
          <t>Casing</t>
        </is>
      </c>
      <c r="E162" t="inlineStr">
        <is>
          <t>Multi-Stage Casing</t>
        </is>
      </c>
      <c r="F162" t="inlineStr">
        <is>
          <t>KSB VS6 Process Condensate Pump</t>
        </is>
      </c>
      <c r="G162" t="inlineStr">
        <is>
          <t>KSB Limited (India)</t>
        </is>
      </c>
      <c r="H162" t="n">
        <v>1</v>
      </c>
      <c r="I162" t="inlineStr">
        <is>
          <t>SET</t>
        </is>
      </c>
      <c r="J162" t="inlineStr">
        <is>
          <t>CS ASTM A216 Gr WCB</t>
        </is>
      </c>
      <c r="M162" t="inlineStr">
        <is>
          <t>Suction casing CS ASTM A216 Gr WCB; Stage casing CS ASTM A216 Gr WCB; Discharge casing CS ASTM A216 Gr WCB; diffuser VTA; casing test pressure VTA; double-casing inline suction/discharge; no of stages VTA</t>
        </is>
      </c>
    </row>
    <row r="163">
      <c r="A163" t="inlineStr">
        <is>
          <t>IMP-KSB-PC5813</t>
        </is>
      </c>
      <c r="B163" t="inlineStr">
        <is>
          <t>Impeller - KSB VS6 Process Condensate</t>
        </is>
      </c>
      <c r="D163" t="inlineStr">
        <is>
          <t>Impeller</t>
        </is>
      </c>
      <c r="E163" t="inlineStr">
        <is>
          <t>Closed Impeller</t>
        </is>
      </c>
      <c r="F163" t="inlineStr">
        <is>
          <t>KSB VS6 Process Condensate Pump</t>
        </is>
      </c>
      <c r="G163" t="inlineStr">
        <is>
          <t>KSB Limited (India)</t>
        </is>
      </c>
      <c r="H163" t="n">
        <v>1</v>
      </c>
      <c r="I163" t="inlineStr">
        <is>
          <t>EA</t>
        </is>
      </c>
      <c r="J163" t="inlineStr">
        <is>
          <t>SS 2324 (Lean Duplex)</t>
        </is>
      </c>
      <c r="M163" t="inlineStr">
        <is>
          <t>SS 2324 lean duplex stainless steel; impeller dia VTA (min/max per vendor); closed type; impeller wear ring VTA; case wear ring VTA; process condensate 47°C service</t>
        </is>
      </c>
    </row>
    <row r="164">
      <c r="A164" t="inlineStr">
        <is>
          <t>SHAFT-KSB-PC5813</t>
        </is>
      </c>
      <c r="B164" t="inlineStr">
        <is>
          <t>Shaft &amp; Sleeve - KSB VS6 Process Condensate</t>
        </is>
      </c>
      <c r="D164" t="inlineStr">
        <is>
          <t>Shaft</t>
        </is>
      </c>
      <c r="E164" t="inlineStr">
        <is>
          <t>Pump Shaft</t>
        </is>
      </c>
      <c r="F164" t="inlineStr">
        <is>
          <t>KSB VS6 Process Condensate Pump</t>
        </is>
      </c>
      <c r="G164" t="inlineStr">
        <is>
          <t>KSB Limited (India)</t>
        </is>
      </c>
      <c r="H164" t="n">
        <v>1</v>
      </c>
      <c r="I164" t="inlineStr">
        <is>
          <t>EA</t>
        </is>
      </c>
      <c r="J164" t="inlineStr">
        <is>
          <t>VTA</t>
        </is>
      </c>
      <c r="M164" t="inlineStr">
        <is>
          <t>Shaft MOC VTA; shaft sleeve VTA; bearing housing VTA; stuffing box VTA; gland/seal plate VTA; bearings VTA; lubrication VTA; thrust balancing VTA</t>
        </is>
      </c>
    </row>
    <row r="165">
      <c r="A165" t="inlineStr">
        <is>
          <t>SEAL-KSB-PC5813</t>
        </is>
      </c>
      <c r="B165" t="inlineStr">
        <is>
          <t>Mechanical Seal - KSB VS6 Process Condensate</t>
        </is>
      </c>
      <c r="D165" t="inlineStr">
        <is>
          <t>Seal</t>
        </is>
      </c>
      <c r="E165" t="inlineStr">
        <is>
          <t>Mechanical Seal</t>
        </is>
      </c>
      <c r="F165" t="inlineStr">
        <is>
          <t>KSB VS6 Process Condensate Pump</t>
        </is>
      </c>
      <c r="G165" t="inlineStr">
        <is>
          <t>KSB Limited (India)</t>
        </is>
      </c>
      <c r="H165" t="n">
        <v>1</v>
      </c>
      <c r="I165" t="inlineStr">
        <is>
          <t>EA</t>
        </is>
      </c>
      <c r="J165" t="inlineStr">
        <is>
          <t>VTA</t>
        </is>
      </c>
      <c r="M165" t="inlineStr">
        <is>
          <t>Mechanical seal; seal flushing plan VTA (vendor to advise); cooling plan VTA; condensate water service; NPSHA=0.5m (very low — VS6 required specifically for this)</t>
        </is>
      </c>
    </row>
    <row r="166">
      <c r="A166" t="inlineStr">
        <is>
          <t>CPL-KSB-PC5813</t>
        </is>
      </c>
      <c r="B166" t="inlineStr">
        <is>
          <t>Coupling &amp; Guard - KSB VS6 Process Condensate</t>
        </is>
      </c>
      <c r="D166" t="inlineStr">
        <is>
          <t>Coupling</t>
        </is>
      </c>
      <c r="E166" t="inlineStr">
        <is>
          <t>Flexible Coupling with Spacer</t>
        </is>
      </c>
      <c r="F166" t="inlineStr">
        <is>
          <t>KSB VS6 Process Condensate Pump</t>
        </is>
      </c>
      <c r="G166" t="inlineStr">
        <is>
          <t>KSB Limited (India)</t>
        </is>
      </c>
      <c r="H166" t="n">
        <v>1</v>
      </c>
      <c r="I166" t="inlineStr">
        <is>
          <t>EA</t>
        </is>
      </c>
      <c r="J166" t="inlineStr">
        <is>
          <t>VTA</t>
        </is>
      </c>
      <c r="M166" t="inlineStr">
        <is>
          <t>Flexible coupling with spacer; make VTA; size VTA; GD² of pump and coupling VTA; coupling guard included; KSB scope</t>
        </is>
      </c>
    </row>
    <row r="167">
      <c r="A167" t="inlineStr">
        <is>
          <t>MOT-KSB-PC5813</t>
        </is>
      </c>
      <c r="B167" t="inlineStr">
        <is>
          <t>Motor (Squirrel Cage) - KSB VS6 Process Condensate</t>
        </is>
      </c>
      <c r="D167" t="inlineStr">
        <is>
          <t>Motor</t>
        </is>
      </c>
      <c r="E167" t="inlineStr">
        <is>
          <t>LT Induction Motor</t>
        </is>
      </c>
      <c r="F167" t="inlineStr">
        <is>
          <t>KSB VS6 Process Condensate Pump</t>
        </is>
      </c>
      <c r="G167" t="inlineStr">
        <is>
          <t>KSB Limited (India)</t>
        </is>
      </c>
      <c r="H167" t="n">
        <v>1</v>
      </c>
      <c r="I167" t="inlineStr">
        <is>
          <t>EA</t>
        </is>
      </c>
      <c r="J167" t="inlineStr">
        <is>
          <t>Cast Iron Frame</t>
        </is>
      </c>
      <c r="M167" t="inlineStr">
        <is>
          <t>Squirrel cage induction motor; nominal power VTA; 4-pole; 1450 rpm nom; 415V±10%/50Hz/3Ph; ambient 50°C; motor by pump vendor; driven through VSD (VSD by purchaser); motor per doc 6695-ELT-G00-EC-0012</t>
        </is>
      </c>
    </row>
    <row r="168">
      <c r="A168" t="inlineStr">
        <is>
          <t>BASE-KSB-PC5813</t>
        </is>
      </c>
      <c r="B168" t="inlineStr">
        <is>
          <t>Common Base Frame - KSB VS6 Process Condensate</t>
        </is>
      </c>
      <c r="D168" t="inlineStr">
        <is>
          <t>Baseplate</t>
        </is>
      </c>
      <c r="E168" t="inlineStr">
        <is>
          <t>Common Baseplate</t>
        </is>
      </c>
      <c r="F168" t="inlineStr">
        <is>
          <t>KSB VS6 Process Condensate Pump</t>
        </is>
      </c>
      <c r="G168" t="inlineStr">
        <is>
          <t>KSB Limited (India)</t>
        </is>
      </c>
      <c r="H168" t="n">
        <v>1</v>
      </c>
      <c r="I168" t="inlineStr">
        <is>
          <t>EA</t>
        </is>
      </c>
      <c r="J168" t="inlineStr">
        <is>
          <t>Carbon Steel</t>
        </is>
      </c>
      <c r="M168" t="inlineStr">
        <is>
          <t>CS base frame; anchor bolts yes (vendor to provide details); base plate VTA; coupling halves VTA; mounted on common base frame with motor; includes companion flanges with gaskets and fasteners; foundation bolts in scope</t>
        </is>
      </c>
    </row>
    <row r="169">
      <c r="A169" t="inlineStr">
        <is>
          <t>STRNR-KSB-PC5813</t>
        </is>
      </c>
      <c r="B169" t="inlineStr">
        <is>
          <t>Suction Strainer (Start-up) - KSB VS6 Process Condensate</t>
        </is>
      </c>
      <c r="D169" t="inlineStr">
        <is>
          <t>Strainer</t>
        </is>
      </c>
      <c r="E169" t="inlineStr">
        <is>
          <t>Start-up Strainer</t>
        </is>
      </c>
      <c r="F169" t="inlineStr">
        <is>
          <t>KSB VS6 Process Condensate Pump</t>
        </is>
      </c>
      <c r="G169" t="inlineStr">
        <is>
          <t>KSB Limited (India)</t>
        </is>
      </c>
      <c r="H169" t="n">
        <v>1</v>
      </c>
      <c r="I169" t="inlineStr">
        <is>
          <t>EA</t>
        </is>
      </c>
      <c r="J169" t="inlineStr">
        <is>
          <t>VTA</t>
        </is>
      </c>
      <c r="M169" t="inlineStr">
        <is>
          <t>Start-up strainer type; body MOC VTA; strainer MOC VTA; mesh micron VTA; end connection flanged 125-250 AARH; KSB scope of supply</t>
        </is>
      </c>
    </row>
    <row r="170">
      <c r="A170" t="inlineStr">
        <is>
          <t>ASM-KSB-PC5813</t>
        </is>
      </c>
      <c r="B170" t="inlineStr">
        <is>
          <t>Complete Pump Package - KSB VS6 Process Condensate</t>
        </is>
      </c>
      <c r="C170" t="inlineStr">
        <is>
          <t>ZT2023.02-508-DS-ME-115</t>
        </is>
      </c>
      <c r="D170" t="inlineStr">
        <is>
          <t>Assembly</t>
        </is>
      </c>
      <c r="E170" t="inlineStr">
        <is>
          <t>Complete Package</t>
        </is>
      </c>
      <c r="F170" t="inlineStr">
        <is>
          <t>KSB VS6 Process Condensate Pump</t>
        </is>
      </c>
      <c r="G170" t="inlineStr">
        <is>
          <t>KSB Limited (India)</t>
        </is>
      </c>
      <c r="H170" t="n">
        <v>1</v>
      </c>
      <c r="I170" t="inlineStr">
        <is>
          <t>PKG</t>
        </is>
      </c>
      <c r="J170" t="inlineStr">
        <is>
          <t>Various</t>
        </is>
      </c>
      <c r="M170" t="inlineStr">
        <is>
          <t>Scope: Pump+Motor+Common Base Frame+Coupling+Coupling Guard+Companion Flanges+Gaskets+Fasteners+Foundation Bolts+Suction Strainer+Mechanical Seal+First Fill Lubricants | NO valves | Operating points: MinFlow 99 m3/h @73.2m / Normal 141 m3/h @73.7m / MaxFlow 198 m3/h @75m | Inlet press -74 to -76 kPa(g) | Condensate pot tag 08PV-J/K-5813 | Painting per 6695-EQS-G00-EC-0007 | Noise ≤85 dB(A)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B30" sqref="B30:H39"/>
    </sheetView>
  </sheetViews>
  <sheetFormatPr baseColWidth="8" defaultRowHeight="15"/>
  <cols>
    <col width="20" customWidth="1" style="64" min="1" max="1"/>
    <col width="35" customWidth="1" style="64" min="2" max="2"/>
    <col width="15" customWidth="1" style="64" min="3" max="4"/>
    <col width="20" customWidth="1" style="64" min="5" max="5"/>
    <col width="38.140625" customWidth="1" style="64" min="6" max="6"/>
    <col width="76.5703125" customWidth="1" style="64" min="7" max="7"/>
  </cols>
  <sheetData>
    <row r="1" ht="30" customHeight="1" s="64">
      <c r="A1" s="1" t="inlineStr">
        <is>
          <t>Material_Code</t>
        </is>
      </c>
      <c r="B1" s="1" t="inlineStr">
        <is>
          <t>Material_Description</t>
        </is>
      </c>
      <c r="C1" s="1" t="inlineStr">
        <is>
          <t>Density_kg_m3</t>
        </is>
      </c>
      <c r="D1" s="1" t="inlineStr">
        <is>
          <t>Max_Temp_C</t>
        </is>
      </c>
      <c r="E1" s="1" t="inlineStr">
        <is>
          <t>Standard_Spec</t>
        </is>
      </c>
      <c r="F1" s="1" t="inlineStr">
        <is>
          <t>Typical_Applications</t>
        </is>
      </c>
      <c r="G1" s="1" t="inlineStr">
        <is>
          <t>Notes</t>
        </is>
      </c>
    </row>
    <row r="2">
      <c r="A2" s="2" t="inlineStr">
        <is>
          <t>A216-WCB</t>
        </is>
      </c>
      <c r="B2" s="3" t="inlineStr">
        <is>
          <t>Carbon Steel Casting WCB</t>
        </is>
      </c>
      <c r="C2" s="2" t="inlineStr">
        <is>
          <t>7850</t>
        </is>
      </c>
      <c r="D2" s="2" t="inlineStr">
        <is>
          <t>425</t>
        </is>
      </c>
      <c r="E2" s="2" t="inlineStr">
        <is>
          <t>ASTM A216</t>
        </is>
      </c>
      <c r="F2" s="3" t="inlineStr">
        <is>
          <t>Pump casings, pressure vessels</t>
        </is>
      </c>
      <c r="G2" s="3" t="inlineStr">
        <is>
          <t>Standard carbon steel for pump casings</t>
        </is>
      </c>
    </row>
    <row r="3" ht="25.5" customHeight="1" s="64">
      <c r="A3" s="2" t="inlineStr">
        <is>
          <t>A487-CA6M</t>
        </is>
      </c>
      <c r="B3" s="3" t="inlineStr">
        <is>
          <t>12% Chrome Steel Casting</t>
        </is>
      </c>
      <c r="C3" s="2" t="inlineStr">
        <is>
          <t>7700</t>
        </is>
      </c>
      <c r="D3" s="2" t="inlineStr">
        <is>
          <t>450</t>
        </is>
      </c>
      <c r="E3" s="2" t="inlineStr">
        <is>
          <t>ASTM A487 Gr CA6M</t>
        </is>
      </c>
      <c r="F3" s="3" t="inlineStr">
        <is>
          <t>Impellers, wear rings, high wear parts</t>
        </is>
      </c>
      <c r="G3" s="3" t="inlineStr">
        <is>
          <t>Corrosion and wear resistant</t>
        </is>
      </c>
    </row>
    <row r="4">
      <c r="A4" s="2" t="inlineStr">
        <is>
          <t>CF8M-SS316</t>
        </is>
      </c>
      <c r="B4" s="3" t="inlineStr">
        <is>
          <t>Stainless Steel 316 Cast</t>
        </is>
      </c>
      <c r="C4" s="2" t="inlineStr">
        <is>
          <t>8000</t>
        </is>
      </c>
      <c r="D4" s="2" t="inlineStr">
        <is>
          <t>538</t>
        </is>
      </c>
      <c r="E4" s="2" t="inlineStr">
        <is>
          <t>CF8M (ASTM A743)</t>
        </is>
      </c>
      <c r="F4" s="3" t="inlineStr">
        <is>
          <t>Impellers, corrosive service</t>
        </is>
      </c>
      <c r="G4" s="3" t="inlineStr">
        <is>
          <t>Excellent corrosion resistance</t>
        </is>
      </c>
    </row>
    <row r="5">
      <c r="A5" s="2" t="inlineStr">
        <is>
          <t>EN19-STEEL</t>
        </is>
      </c>
      <c r="B5" s="3" t="inlineStr">
        <is>
          <t>Alloy Steel EN19</t>
        </is>
      </c>
      <c r="C5" s="2" t="inlineStr">
        <is>
          <t>7850</t>
        </is>
      </c>
      <c r="D5" s="2" t="inlineStr">
        <is>
          <t>400</t>
        </is>
      </c>
      <c r="E5" s="2" t="inlineStr">
        <is>
          <t>EN19 / SAE 4140</t>
        </is>
      </c>
      <c r="F5" s="3" t="inlineStr">
        <is>
          <t>Shafts, high strength applications</t>
        </is>
      </c>
      <c r="G5" s="3" t="inlineStr">
        <is>
          <t>High tensile strength</t>
        </is>
      </c>
    </row>
    <row r="6">
      <c r="A6" s="2" t="inlineStr">
        <is>
          <t>SS410</t>
        </is>
      </c>
      <c r="B6" s="3" t="inlineStr">
        <is>
          <t>Stainless Steel 410</t>
        </is>
      </c>
      <c r="C6" s="2" t="inlineStr">
        <is>
          <t>7750</t>
        </is>
      </c>
      <c r="D6" s="2" t="inlineStr">
        <is>
          <t>400</t>
        </is>
      </c>
      <c r="E6" s="2" t="inlineStr">
        <is>
          <t>AISI 410</t>
        </is>
      </c>
      <c r="F6" s="3" t="inlineStr">
        <is>
          <t>Shafts, fasteners</t>
        </is>
      </c>
      <c r="G6" s="3" t="inlineStr">
        <is>
          <t>Martensitic stainless steel</t>
        </is>
      </c>
    </row>
    <row r="7">
      <c r="A7" s="2" t="inlineStr">
        <is>
          <t>A216-TYPE420</t>
        </is>
      </c>
      <c r="B7" s="3" t="inlineStr">
        <is>
          <t>Stainless Steel 420</t>
        </is>
      </c>
      <c r="C7" s="2" t="inlineStr">
        <is>
          <t>7740</t>
        </is>
      </c>
      <c r="D7" s="2" t="inlineStr">
        <is>
          <t>400</t>
        </is>
      </c>
      <c r="E7" s="2" t="inlineStr">
        <is>
          <t>ASTM A216 Type 420</t>
        </is>
      </c>
      <c r="F7" s="3" t="inlineStr">
        <is>
          <t>Shaft sleeves, wear parts</t>
        </is>
      </c>
      <c r="G7" s="3" t="inlineStr">
        <is>
          <t>Hardenable stainless</t>
        </is>
      </c>
    </row>
    <row r="8">
      <c r="A8" s="2" t="inlineStr">
        <is>
          <t>A48-CI30</t>
        </is>
      </c>
      <c r="B8" s="3" t="inlineStr">
        <is>
          <t>Cast Iron Class 30</t>
        </is>
      </c>
      <c r="C8" s="2" t="inlineStr">
        <is>
          <t>7200</t>
        </is>
      </c>
      <c r="D8" s="2" t="inlineStr">
        <is>
          <t>230</t>
        </is>
      </c>
      <c r="E8" s="2" t="inlineStr">
        <is>
          <t>ASTM A48 CI.30</t>
        </is>
      </c>
      <c r="F8" s="3" t="inlineStr">
        <is>
          <t>Bearing housings, low pressure</t>
        </is>
      </c>
      <c r="G8" s="3" t="inlineStr">
        <is>
          <t>Standard gray cast iron</t>
        </is>
      </c>
    </row>
    <row r="9">
      <c r="A9" s="2" t="inlineStr">
        <is>
          <t>IS2062</t>
        </is>
      </c>
      <c r="B9" s="3" t="inlineStr">
        <is>
          <t>Mild Steel Structural</t>
        </is>
      </c>
      <c r="C9" s="2" t="inlineStr">
        <is>
          <t>7850</t>
        </is>
      </c>
      <c r="D9" s="2" t="inlineStr">
        <is>
          <t>350</t>
        </is>
      </c>
      <c r="E9" s="2" t="inlineStr">
        <is>
          <t>IS 2062</t>
        </is>
      </c>
      <c r="F9" s="3" t="inlineStr">
        <is>
          <t>Baseplates, structural supports</t>
        </is>
      </c>
      <c r="G9" s="3" t="inlineStr">
        <is>
          <t>Indian standard structural steel</t>
        </is>
      </c>
    </row>
    <row r="10">
      <c r="A10" s="2" t="inlineStr">
        <is>
          <t>A193-B7</t>
        </is>
      </c>
      <c r="B10" s="3" t="inlineStr">
        <is>
          <t>Alloy Steel Bolting</t>
        </is>
      </c>
      <c r="C10" s="2" t="inlineStr">
        <is>
          <t>7850</t>
        </is>
      </c>
      <c r="D10" s="2" t="inlineStr">
        <is>
          <t>540</t>
        </is>
      </c>
      <c r="E10" s="2" t="inlineStr">
        <is>
          <t>ASTM A193 Gr.B7</t>
        </is>
      </c>
      <c r="F10" s="3" t="inlineStr">
        <is>
          <t>High temperature bolts</t>
        </is>
      </c>
      <c r="G10" s="3" t="inlineStr">
        <is>
          <t>For bolted connections</t>
        </is>
      </c>
    </row>
    <row r="11">
      <c r="A11" s="2" t="inlineStr">
        <is>
          <t>A194-2H</t>
        </is>
      </c>
      <c r="B11" s="3" t="inlineStr">
        <is>
          <t>Heavy Hex Nuts</t>
        </is>
      </c>
      <c r="C11" s="2" t="inlineStr">
        <is>
          <t>7850</t>
        </is>
      </c>
      <c r="D11" s="2" t="inlineStr">
        <is>
          <t>540</t>
        </is>
      </c>
      <c r="E11" s="2" t="inlineStr">
        <is>
          <t>ASTM A194 2H</t>
        </is>
      </c>
      <c r="F11" s="3" t="inlineStr">
        <is>
          <t>Nuts for A193 B7 bolts</t>
        </is>
      </c>
      <c r="G11" s="3" t="inlineStr">
        <is>
          <t>Heavy duty nuts</t>
        </is>
      </c>
    </row>
    <row r="12" ht="25.5" customHeight="1" s="64">
      <c r="A12" s="2" t="inlineStr">
        <is>
          <t>SS304</t>
        </is>
      </c>
      <c r="B12" s="3" t="inlineStr">
        <is>
          <t>Stainless Steel 304</t>
        </is>
      </c>
      <c r="C12" s="2" t="inlineStr">
        <is>
          <t>8000</t>
        </is>
      </c>
      <c r="D12" s="2" t="inlineStr">
        <is>
          <t>870</t>
        </is>
      </c>
      <c r="E12" s="2" t="inlineStr">
        <is>
          <t>AISI 304</t>
        </is>
      </c>
      <c r="F12" s="3" t="inlineStr">
        <is>
          <t>Guards, nameplates, general fabrication</t>
        </is>
      </c>
      <c r="G12" s="3" t="inlineStr">
        <is>
          <t>General purpose stainless</t>
        </is>
      </c>
    </row>
    <row r="13" ht="25.5" customHeight="1" s="64">
      <c r="A13" s="2" t="inlineStr">
        <is>
          <t>CARBON-STEEL</t>
        </is>
      </c>
      <c r="B13" s="3" t="inlineStr">
        <is>
          <t>Carbon Steel General</t>
        </is>
      </c>
      <c r="C13" s="2" t="inlineStr">
        <is>
          <t>7850</t>
        </is>
      </c>
      <c r="D13" s="2" t="inlineStr">
        <is>
          <t>400</t>
        </is>
      </c>
      <c r="E13" s="2" t="inlineStr">
        <is>
          <t>Various</t>
        </is>
      </c>
      <c r="F13" s="3" t="inlineStr">
        <is>
          <t>Piping, structural, general fabrication</t>
        </is>
      </c>
      <c r="G13" s="3" t="inlineStr">
        <is>
          <t>Generic carbon steel</t>
        </is>
      </c>
    </row>
    <row r="14">
      <c r="A14" s="37" t="inlineStr">
        <is>
          <t>ASTM-A532-IIIA</t>
        </is>
      </c>
      <c r="B14" s="37" t="inlineStr">
        <is>
          <t>High Chrome White Iron (GPS800 equiv.)</t>
        </is>
      </c>
      <c r="C14" s="37" t="n">
        <v>7200</v>
      </c>
      <c r="D14" s="37" t="n">
        <v>400</v>
      </c>
      <c r="E14" s="37" t="inlineStr">
        <is>
          <t>ASTM A532 Grade IIIA</t>
        </is>
      </c>
      <c r="F14" s="37" t="inlineStr">
        <is>
          <t>Pump casings, impellers, back liners - slurry service</t>
        </is>
      </c>
      <c r="G14" s="37" t="inlineStr">
        <is>
          <t>Metso internal code GPS800; wear resistant</t>
        </is>
      </c>
    </row>
    <row r="15">
      <c r="A15" s="37" t="inlineStr">
        <is>
          <t>SS316-CAST</t>
        </is>
      </c>
      <c r="B15" s="37" t="inlineStr">
        <is>
          <t>Stainless Steel 316 (Wrought)</t>
        </is>
      </c>
      <c r="C15" s="37" t="n">
        <v>8000</v>
      </c>
      <c r="D15" s="37" t="n">
        <v>400</v>
      </c>
      <c r="E15" s="37" t="inlineStr">
        <is>
          <t>SS316 / 1.4436</t>
        </is>
      </c>
      <c r="F15" s="37" t="inlineStr">
        <is>
          <t>Shaft sleeves</t>
        </is>
      </c>
      <c r="G15" s="37" t="inlineStr">
        <is>
          <t>Corrosion resistant shaft sleeve</t>
        </is>
      </c>
    </row>
    <row r="16">
      <c r="A16" s="37" t="inlineStr">
        <is>
          <t>EN24-STEEL</t>
        </is>
      </c>
      <c r="B16" s="37" t="inlineStr">
        <is>
          <t>EN24 Alloy Steel (BS970)</t>
        </is>
      </c>
      <c r="C16" s="37" t="n">
        <v>7850</v>
      </c>
      <c r="D16" s="37" t="n">
        <v>450</v>
      </c>
      <c r="E16" s="37" t="inlineStr">
        <is>
          <t>EN24 / BS970</t>
        </is>
      </c>
      <c r="F16" s="37" t="inlineStr">
        <is>
          <t>Pump shafts</t>
        </is>
      </c>
      <c r="G16" s="37" t="inlineStr">
        <is>
          <t>High tensile alloy steel for shafts</t>
        </is>
      </c>
    </row>
    <row r="17">
      <c r="A17" s="37" t="inlineStr">
        <is>
          <t>SG-IRON-500</t>
        </is>
      </c>
      <c r="B17" s="37" t="inlineStr">
        <is>
          <t>Spheroidal Graphite (SG) Iron GR.500/7</t>
        </is>
      </c>
      <c r="C17" s="37" t="n">
        <v>7100</v>
      </c>
      <c r="D17" s="37" t="n">
        <v>350</v>
      </c>
      <c r="E17" s="37" t="inlineStr">
        <is>
          <t>BS2789 Gr.500/7</t>
        </is>
      </c>
      <c r="F17" s="37" t="inlineStr">
        <is>
          <t>Bearing housing</t>
        </is>
      </c>
      <c r="G17" s="37" t="inlineStr">
        <is>
          <t>Ductile iron for bearing housings</t>
        </is>
      </c>
    </row>
    <row r="18">
      <c r="A18" s="37" t="inlineStr">
        <is>
          <t>IS2062-MS</t>
        </is>
      </c>
      <c r="B18" s="37" t="inlineStr">
        <is>
          <t>Structural Mild Steel IS:2062</t>
        </is>
      </c>
      <c r="C18" s="37" t="n">
        <v>7850</v>
      </c>
      <c r="D18" s="37" t="n">
        <v>300</v>
      </c>
      <c r="E18" s="37" t="inlineStr">
        <is>
          <t>IS 2062</t>
        </is>
      </c>
      <c r="F18" s="37" t="inlineStr">
        <is>
          <t>Bearing frame, base frame</t>
        </is>
      </c>
      <c r="G18" s="37" t="inlineStr">
        <is>
          <t>Standard structural steel</t>
        </is>
      </c>
    </row>
    <row r="19">
      <c r="A19" s="37" t="inlineStr">
        <is>
          <t>NBR-70</t>
        </is>
      </c>
      <c r="B19" s="37" t="inlineStr">
        <is>
          <t>Nitrile Rubber 70 Shore</t>
        </is>
      </c>
      <c r="C19" s="37" t="n"/>
      <c r="D19" s="37" t="n">
        <v>100</v>
      </c>
      <c r="E19" s="37" t="inlineStr">
        <is>
          <t>NBR 70 SH</t>
        </is>
      </c>
      <c r="F19" s="37" t="inlineStr">
        <is>
          <t>O-rings, gaskets</t>
        </is>
      </c>
      <c r="G19" s="37" t="inlineStr">
        <is>
          <t>SMS1586 spec o-rings</t>
        </is>
      </c>
    </row>
    <row r="20">
      <c r="A20" s="37" t="inlineStr">
        <is>
          <t>PVC-U</t>
        </is>
      </c>
      <c r="B20" s="37" t="inlineStr">
        <is>
          <t>Unplasticised PVC</t>
        </is>
      </c>
      <c r="C20" s="37" t="n"/>
      <c r="D20" s="37" t="n">
        <v>60</v>
      </c>
      <c r="E20" s="37" t="inlineStr">
        <is>
          <t>PVC-U</t>
        </is>
      </c>
      <c r="F20" s="37" t="inlineStr">
        <is>
          <t>Case shim modules</t>
        </is>
      </c>
      <c r="G20" s="37" t="inlineStr">
        <is>
          <t>Non-metallic shim material</t>
        </is>
      </c>
    </row>
    <row r="21">
      <c r="A21" s="37" t="inlineStr">
        <is>
          <t>CI-FG260</t>
        </is>
      </c>
      <c r="B21" s="37" t="inlineStr">
        <is>
          <t>Cast Iron FG 260</t>
        </is>
      </c>
      <c r="C21" s="37" t="n">
        <v>7200</v>
      </c>
      <c r="D21" s="37" t="n">
        <v>250</v>
      </c>
      <c r="E21" s="37" t="inlineStr">
        <is>
          <t>IS 210 Gr FG 260</t>
        </is>
      </c>
      <c r="F21" s="37" t="inlineStr">
        <is>
          <t>Pump casings (horizontal split), bearing housings, glands, suction cases</t>
        </is>
      </c>
      <c r="G21" s="37" t="inlineStr">
        <is>
          <t>Standard CI for water pumps; Wilo GSN casing &amp; Jyoti VTP discharge head body</t>
        </is>
      </c>
    </row>
    <row r="22">
      <c r="A22" s="37" t="inlineStr">
        <is>
          <t>BRONZE-LTB2</t>
        </is>
      </c>
      <c r="B22" s="37" t="inlineStr">
        <is>
          <t>Phosphor Bronze LTB2</t>
        </is>
      </c>
      <c r="C22" s="37" t="n">
        <v>8800</v>
      </c>
      <c r="D22" s="37" t="n">
        <v>200</v>
      </c>
      <c r="E22" s="37" t="inlineStr">
        <is>
          <t>IS 318 Gr LTB2</t>
        </is>
      </c>
      <c r="F22" s="37" t="inlineStr">
        <is>
          <t>Bush bearings, impeller wearing rings, bowl bearings, suction case bearings</t>
        </is>
      </c>
      <c r="G22" s="37" t="inlineStr">
        <is>
          <t>Standard bronze for water pump wear parts; Jyoti VTP &amp; Wilo GSN</t>
        </is>
      </c>
    </row>
    <row r="23">
      <c r="A23" s="37" t="inlineStr">
        <is>
          <t>BRONZE-LTB5</t>
        </is>
      </c>
      <c r="B23" s="37" t="inlineStr">
        <is>
          <t>Phosphor Bronze LTB5</t>
        </is>
      </c>
      <c r="C23" s="37" t="n">
        <v>8800</v>
      </c>
      <c r="D23" s="37" t="n">
        <v>200</v>
      </c>
      <c r="E23" s="37" t="inlineStr">
        <is>
          <t>IS 318 Gr LTB5</t>
        </is>
      </c>
      <c r="F23" s="37" t="inlineStr">
        <is>
          <t>Impellers in water pumps, casing wear rings</t>
        </is>
      </c>
      <c r="G23" s="37" t="inlineStr">
        <is>
          <t>Higher grade bronze for impellers; Wilo GSN 2-stage pump</t>
        </is>
      </c>
    </row>
    <row r="24">
      <c r="A24" s="37" t="inlineStr">
        <is>
          <t>SG-IRON</t>
        </is>
      </c>
      <c r="B24" s="37" t="inlineStr">
        <is>
          <t>Spheroidal Graphite (SG) Iron</t>
        </is>
      </c>
      <c r="C24" s="37" t="n">
        <v>7100</v>
      </c>
      <c r="D24" s="37" t="n">
        <v>300</v>
      </c>
      <c r="E24" s="37" t="inlineStr">
        <is>
          <t>IS 1865</t>
        </is>
      </c>
      <c r="F24" s="37" t="inlineStr">
        <is>
          <t>Bowl / casing for vertical turbine pumps</t>
        </is>
      </c>
      <c r="G24" s="37" t="inlineStr">
        <is>
          <t>Jyoti VTP bowl and top bowl material; ductile iron</t>
        </is>
      </c>
    </row>
    <row r="25">
      <c r="A25" s="37" t="inlineStr">
        <is>
          <t>SS410-BAR</t>
        </is>
      </c>
      <c r="B25" s="37" t="inlineStr">
        <is>
          <t>Stainless Steel 410 (Bar/Rod)</t>
        </is>
      </c>
      <c r="C25" s="37" t="n">
        <v>7750</v>
      </c>
      <c r="D25" s="37" t="n">
        <v>400</v>
      </c>
      <c r="E25" s="37" t="inlineStr">
        <is>
          <t>ASTM A276 Gr 410</t>
        </is>
      </c>
      <c r="F25" s="37" t="inlineStr">
        <is>
          <t>Impeller shafts, line shafts, head shafts, shaft couplings for VTPs</t>
        </is>
      </c>
      <c r="G25" s="37" t="inlineStr">
        <is>
          <t>SS 410T ASTMA276; Used in Jyoti 400TE3D4 &amp; 350TE1A4 shaft system</t>
        </is>
      </c>
    </row>
    <row r="26">
      <c r="A26" s="37" t="inlineStr">
        <is>
          <t>ERW-PIPE</t>
        </is>
      </c>
      <c r="B26" s="37" t="inlineStr">
        <is>
          <t>ERW Steel Pipe (Column Pipe)</t>
        </is>
      </c>
      <c r="C26" s="37" t="n">
        <v>7850</v>
      </c>
      <c r="D26" s="37" t="n">
        <v>300</v>
      </c>
      <c r="E26" s="37" t="inlineStr">
        <is>
          <t>IS 1239 / IS 3589</t>
        </is>
      </c>
      <c r="F26" s="37" t="inlineStr">
        <is>
          <t>Column pipes for vertical turbine pumps</t>
        </is>
      </c>
      <c r="G26" s="37" t="inlineStr">
        <is>
          <t>Jyoti VTP column pipe material; Electric Resistance Welded steel pipe</t>
        </is>
      </c>
    </row>
    <row r="27">
      <c r="A27" s="37" t="inlineStr">
        <is>
          <t>THORDON</t>
        </is>
      </c>
      <c r="B27" s="37" t="inlineStr">
        <is>
          <t>Thordon Bearing Material (Polymer)</t>
        </is>
      </c>
      <c r="C27" s="37" t="n">
        <v>1200</v>
      </c>
      <c r="D27" s="37" t="n">
        <v>80</v>
      </c>
      <c r="E27" s="37" t="inlineStr">
        <is>
          <t>Thordon Proprietary</t>
        </is>
      </c>
      <c r="F27" s="37" t="inlineStr">
        <is>
          <t>Line shaft bearings / water lubricated bearings in VTPs</t>
        </is>
      </c>
      <c r="G27" s="37" t="inlineStr">
        <is>
          <t>Water-lubricated bearing; Jyoti VTP line shaft bearing; self-water lubricated</t>
        </is>
      </c>
    </row>
    <row r="28">
      <c r="A28" s="37" t="inlineStr">
        <is>
          <t>GFN</t>
        </is>
      </c>
      <c r="B28" s="37" t="inlineStr">
        <is>
          <t>Glass Filled Nylon</t>
        </is>
      </c>
      <c r="C28" s="37" t="n">
        <v>1400</v>
      </c>
      <c r="D28" s="37" t="n">
        <v>100</v>
      </c>
      <c r="E28" s="37" t="inlineStr">
        <is>
          <t>Manufacturer Std</t>
        </is>
      </c>
      <c r="F28" s="37" t="inlineStr">
        <is>
          <t>Lantern rings in stuffing boxes</t>
        </is>
      </c>
      <c r="G28" s="37" t="inlineStr">
        <is>
          <t>Wilo GSN pump lantern ring material</t>
        </is>
      </c>
    </row>
    <row r="29">
      <c r="A29" s="37" t="inlineStr">
        <is>
          <t>GRAPHITED-COTTON</t>
        </is>
      </c>
      <c r="B29" s="37" t="inlineStr">
        <is>
          <t>Graphited Cotton Gland Packing</t>
        </is>
      </c>
      <c r="C29" s="37" t="n">
        <v>1000</v>
      </c>
      <c r="D29" s="37" t="n">
        <v>200</v>
      </c>
      <c r="E29" s="37" t="inlineStr">
        <is>
          <t>Manufacturer Std</t>
        </is>
      </c>
      <c r="F29" s="37" t="inlineStr">
        <is>
          <t>Gland packing / stuffing box sealing</t>
        </is>
      </c>
      <c r="G29" s="37" t="inlineStr">
        <is>
          <t>Standard gland packing; Wilo GSN &amp; Jyoti VTP stuffing 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15" activePane="bottomLeft" state="frozen"/>
      <selection pane="bottomLeft" activeCell="A25" sqref="A25:A29"/>
    </sheetView>
  </sheetViews>
  <sheetFormatPr baseColWidth="8" defaultRowHeight="15"/>
  <cols>
    <col width="15" customWidth="1" style="64" min="1" max="1"/>
    <col width="35" customWidth="1" style="64" min="2" max="2"/>
    <col width="25" customWidth="1" style="64" min="3" max="3"/>
    <col width="29.7109375" customWidth="1" style="64" min="4" max="4"/>
    <col width="15" customWidth="1" style="64" min="5" max="5"/>
    <col width="88.42578125" customWidth="1" style="64" min="6" max="6"/>
  </cols>
  <sheetData>
    <row r="1" ht="30" customHeight="1" s="64">
      <c r="A1" s="1" t="inlineStr">
        <is>
          <t>Vendor_ID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Avg_Lead_Days</t>
        </is>
      </c>
      <c r="F1" s="1" t="inlineStr">
        <is>
          <t>Notes</t>
        </is>
      </c>
    </row>
    <row r="2">
      <c r="A2" s="2" t="inlineStr">
        <is>
          <t>V-001</t>
        </is>
      </c>
      <c r="B2" s="3" t="inlineStr">
        <is>
          <t>Flowserve Corporation</t>
        </is>
      </c>
      <c r="C2" s="2" t="inlineStr">
        <is>
          <t>Pump OEM</t>
        </is>
      </c>
      <c r="D2" s="2" t="inlineStr">
        <is>
          <t>Global</t>
        </is>
      </c>
      <c r="E2" s="2" t="n"/>
      <c r="F2" s="3" t="inlineStr">
        <is>
          <t>Complete pump packages</t>
        </is>
      </c>
    </row>
    <row r="3">
      <c r="A3" s="2" t="inlineStr">
        <is>
          <t>V-002</t>
        </is>
      </c>
      <c r="B3" s="3" t="inlineStr">
        <is>
          <t>KSB Pumps Ltd</t>
        </is>
      </c>
      <c r="C3" s="2" t="inlineStr">
        <is>
          <t>Pump OEM</t>
        </is>
      </c>
      <c r="D3" s="2" t="inlineStr">
        <is>
          <t>India</t>
        </is>
      </c>
      <c r="E3" s="2" t="n"/>
      <c r="F3" s="3" t="inlineStr">
        <is>
          <t>Vertical and horizontal pumps</t>
        </is>
      </c>
    </row>
    <row r="4">
      <c r="A4" s="2" t="inlineStr">
        <is>
          <t>V-003</t>
        </is>
      </c>
      <c r="B4" s="3" t="inlineStr">
        <is>
          <t>Crompton Greaves (CGL)</t>
        </is>
      </c>
      <c r="C4" s="2" t="inlineStr">
        <is>
          <t>Motors</t>
        </is>
      </c>
      <c r="D4" s="2" t="inlineStr">
        <is>
          <t>India</t>
        </is>
      </c>
      <c r="E4" s="2" t="n"/>
      <c r="F4" s="3" t="inlineStr">
        <is>
          <t>550kW motor supplier for Flowserve</t>
        </is>
      </c>
    </row>
    <row r="5">
      <c r="A5" s="2" t="inlineStr">
        <is>
          <t>V-004</t>
        </is>
      </c>
      <c r="B5" s="3" t="inlineStr">
        <is>
          <t>Laxmi Hydraulics Pvt Ltd</t>
        </is>
      </c>
      <c r="C5" s="2" t="inlineStr">
        <is>
          <t>Motors</t>
        </is>
      </c>
      <c r="D5" s="2" t="inlineStr">
        <is>
          <t>India</t>
        </is>
      </c>
      <c r="E5" s="2" t="inlineStr">
        <is>
          <t>0</t>
        </is>
      </c>
      <c r="F5" s="3" t="inlineStr">
        <is>
          <t>Motor supplier for KSB pumps</t>
        </is>
      </c>
    </row>
    <row r="6">
      <c r="A6" s="2" t="inlineStr">
        <is>
          <t>V-005</t>
        </is>
      </c>
      <c r="B6" s="3" t="inlineStr">
        <is>
          <t>Unique Transmission India</t>
        </is>
      </c>
      <c r="C6" s="2" t="inlineStr">
        <is>
          <t>Couplings</t>
        </is>
      </c>
      <c r="D6" s="2" t="inlineStr">
        <is>
          <t>India</t>
        </is>
      </c>
      <c r="E6" s="2" t="inlineStr">
        <is>
          <t>45</t>
        </is>
      </c>
      <c r="F6" s="3" t="inlineStr">
        <is>
          <t>Flexible couplings</t>
        </is>
      </c>
    </row>
    <row r="7">
      <c r="A7" s="2" t="inlineStr">
        <is>
          <t>V-006</t>
        </is>
      </c>
      <c r="B7" s="3" t="inlineStr">
        <is>
          <t>Rathi Couplings</t>
        </is>
      </c>
      <c r="C7" s="2" t="inlineStr">
        <is>
          <t>Couplings</t>
        </is>
      </c>
      <c r="D7" s="2" t="inlineStr">
        <is>
          <t>India</t>
        </is>
      </c>
      <c r="E7" s="2" t="n"/>
      <c r="F7" s="3" t="inlineStr">
        <is>
          <t>Spacer tyre type couplings</t>
        </is>
      </c>
    </row>
    <row r="8">
      <c r="A8" s="2" t="inlineStr">
        <is>
          <t>V-007</t>
        </is>
      </c>
      <c r="B8" s="3" t="inlineStr">
        <is>
          <t>John Crane Sealing Systems</t>
        </is>
      </c>
      <c r="C8" s="2" t="inlineStr">
        <is>
          <t>Seals</t>
        </is>
      </c>
      <c r="D8" s="2" t="inlineStr">
        <is>
          <t>India</t>
        </is>
      </c>
      <c r="E8" s="2" t="inlineStr">
        <is>
          <t>38</t>
        </is>
      </c>
      <c r="F8" s="3" t="inlineStr">
        <is>
          <t>Mechanical seals</t>
        </is>
      </c>
    </row>
    <row r="9">
      <c r="A9" s="2" t="inlineStr">
        <is>
          <t>V-008</t>
        </is>
      </c>
      <c r="B9" s="3" t="inlineStr">
        <is>
          <t>Flowserve Sanmar</t>
        </is>
      </c>
      <c r="C9" s="2" t="inlineStr">
        <is>
          <t>Seals</t>
        </is>
      </c>
      <c r="D9" s="2" t="inlineStr">
        <is>
          <t>India</t>
        </is>
      </c>
      <c r="E9" s="2" t="n"/>
      <c r="F9" s="3" t="inlineStr">
        <is>
          <t>Mechanical seals for Flowserve pumps</t>
        </is>
      </c>
    </row>
    <row r="10">
      <c r="A10" s="2" t="inlineStr">
        <is>
          <t>V-009</t>
        </is>
      </c>
      <c r="B10" s="3" t="inlineStr">
        <is>
          <t>Jsons Foundry Pvt Ltd</t>
        </is>
      </c>
      <c r="C10" s="2" t="inlineStr">
        <is>
          <t>Castings</t>
        </is>
      </c>
      <c r="D10" s="2" t="inlineStr">
        <is>
          <t>India</t>
        </is>
      </c>
      <c r="E10" s="2" t="inlineStr">
        <is>
          <t>21</t>
        </is>
      </c>
      <c r="F10" s="3" t="inlineStr">
        <is>
          <t>Pump castings and forgings</t>
        </is>
      </c>
    </row>
    <row r="11">
      <c r="A11" s="2" t="inlineStr">
        <is>
          <t>V-010</t>
        </is>
      </c>
      <c r="B11" s="3" t="inlineStr">
        <is>
          <t>KSB Pumps Foundries</t>
        </is>
      </c>
      <c r="C11" s="2" t="inlineStr">
        <is>
          <t>Castings</t>
        </is>
      </c>
      <c r="D11" s="2" t="inlineStr">
        <is>
          <t>India</t>
        </is>
      </c>
      <c r="E11" s="2" t="inlineStr">
        <is>
          <t>21</t>
        </is>
      </c>
      <c r="F11" s="3" t="inlineStr">
        <is>
          <t>Impeller castings</t>
        </is>
      </c>
    </row>
    <row r="12">
      <c r="A12" s="2" t="inlineStr">
        <is>
          <t>V-011</t>
        </is>
      </c>
      <c r="B12" s="3" t="inlineStr">
        <is>
          <t>Swaraj Engineering</t>
        </is>
      </c>
      <c r="C12" s="2" t="inlineStr">
        <is>
          <t>Fabrication</t>
        </is>
      </c>
      <c r="D12" s="2" t="inlineStr">
        <is>
          <t>India</t>
        </is>
      </c>
      <c r="E12" s="2" t="inlineStr">
        <is>
          <t>28</t>
        </is>
      </c>
      <c r="F12" s="3" t="inlineStr">
        <is>
          <t>Structural fabrication, piping</t>
        </is>
      </c>
    </row>
    <row r="13">
      <c r="A13" s="2" t="inlineStr">
        <is>
          <t>V-012</t>
        </is>
      </c>
      <c r="B13" s="3" t="inlineStr">
        <is>
          <t>J.J. Engineers</t>
        </is>
      </c>
      <c r="C13" s="2" t="inlineStr">
        <is>
          <t>Fabrication</t>
        </is>
      </c>
      <c r="D13" s="2" t="inlineStr">
        <is>
          <t>India</t>
        </is>
      </c>
      <c r="E13" s="2" t="inlineStr">
        <is>
          <t>50</t>
        </is>
      </c>
      <c r="F13" s="3" t="inlineStr">
        <is>
          <t>Baseplates and structures</t>
        </is>
      </c>
    </row>
    <row r="14">
      <c r="A14" s="2" t="inlineStr">
        <is>
          <t>V-013</t>
        </is>
      </c>
      <c r="B14" s="3" t="inlineStr">
        <is>
          <t>The Sky Industries</t>
        </is>
      </c>
      <c r="C14" s="2" t="inlineStr">
        <is>
          <t>Fabrication</t>
        </is>
      </c>
      <c r="D14" s="2" t="inlineStr">
        <is>
          <t>India</t>
        </is>
      </c>
      <c r="E14" s="2" t="inlineStr">
        <is>
          <t>50</t>
        </is>
      </c>
      <c r="F14" s="3" t="inlineStr">
        <is>
          <t>Fabricated components</t>
        </is>
      </c>
    </row>
    <row r="15">
      <c r="A15" s="2" t="inlineStr">
        <is>
          <t>V-014</t>
        </is>
      </c>
      <c r="B15" s="3" t="inlineStr">
        <is>
          <t>Sai Technofab</t>
        </is>
      </c>
      <c r="C15" s="2" t="inlineStr">
        <is>
          <t>Fabrication</t>
        </is>
      </c>
      <c r="D15" s="2" t="inlineStr">
        <is>
          <t>India</t>
        </is>
      </c>
      <c r="E15" s="2" t="inlineStr">
        <is>
          <t>30</t>
        </is>
      </c>
      <c r="F15" s="3" t="inlineStr">
        <is>
          <t>Guards and safety equipment</t>
        </is>
      </c>
    </row>
    <row r="16">
      <c r="A16" s="2" t="inlineStr">
        <is>
          <t>V-015</t>
        </is>
      </c>
      <c r="B16" s="3" t="inlineStr">
        <is>
          <t>Jay-Eesh Engineering Company</t>
        </is>
      </c>
      <c r="C16" s="2" t="inlineStr">
        <is>
          <t>Piping Components</t>
        </is>
      </c>
      <c r="D16" s="2" t="inlineStr">
        <is>
          <t>India</t>
        </is>
      </c>
      <c r="E16" s="2" t="inlineStr">
        <is>
          <t>35</t>
        </is>
      </c>
      <c r="F16" s="3" t="inlineStr">
        <is>
          <t>Strainers and piping</t>
        </is>
      </c>
    </row>
    <row r="17">
      <c r="A17" s="2" t="inlineStr">
        <is>
          <t>V-016</t>
        </is>
      </c>
      <c r="B17" s="3" t="inlineStr">
        <is>
          <t>ARK Acoustics</t>
        </is>
      </c>
      <c r="C17" s="2" t="inlineStr">
        <is>
          <t>Acoustic Enclosures</t>
        </is>
      </c>
      <c r="D17" s="2" t="inlineStr">
        <is>
          <t>India</t>
        </is>
      </c>
      <c r="E17" s="2" t="n"/>
      <c r="F17" s="3" t="inlineStr">
        <is>
          <t>Noise reduction enclosures</t>
        </is>
      </c>
    </row>
    <row r="18" ht="15.75" customHeight="1" s="64" thickBot="1">
      <c r="A18" s="10" t="inlineStr">
        <is>
          <t>V-017</t>
        </is>
      </c>
      <c r="B18" s="11" t="inlineStr">
        <is>
          <t>Stock / Local Suppliers</t>
        </is>
      </c>
      <c r="C18" s="10" t="inlineStr">
        <is>
          <t>General</t>
        </is>
      </c>
      <c r="D18" s="10" t="inlineStr">
        <is>
          <t>India</t>
        </is>
      </c>
      <c r="E18" s="10" t="inlineStr">
        <is>
          <t>0</t>
        </is>
      </c>
      <c r="F18" s="11" t="inlineStr">
        <is>
          <t>Standard off-the-shelf items</t>
        </is>
      </c>
    </row>
    <row r="19" ht="15.75" customHeight="1" s="64" thickBot="1">
      <c r="A19" s="12" t="inlineStr">
        <is>
          <t>V-018</t>
        </is>
      </c>
      <c r="B19" s="12" t="inlineStr">
        <is>
          <t>Metso Outotec India Pvt Ltd</t>
        </is>
      </c>
      <c r="C19" s="12" t="inlineStr">
        <is>
          <t>Pump OEM / Slurry</t>
        </is>
      </c>
      <c r="D19" s="12" t="inlineStr">
        <is>
          <t>Alwar, Rajasthan, India</t>
        </is>
      </c>
      <c r="E19" s="12" t="n"/>
      <c r="F19" s="12" t="inlineStr">
        <is>
          <t>HM200 slurry pump series manufacturer</t>
        </is>
      </c>
    </row>
    <row r="20" ht="15.75" customHeight="1" s="64" thickBot="1">
      <c r="A20" s="12" t="inlineStr">
        <is>
          <t>V-019</t>
        </is>
      </c>
      <c r="B20" s="12" t="inlineStr">
        <is>
          <t>Innomotics India Pvt Ltd (formerly Siemens Large Drives)</t>
        </is>
      </c>
      <c r="C20" s="12" t="inlineStr">
        <is>
          <t>Motors</t>
        </is>
      </c>
      <c r="D20" s="12" t="inlineStr">
        <is>
          <t>Navi Mumbai, India</t>
        </is>
      </c>
      <c r="E20" s="12" t="n"/>
      <c r="F20" s="12" t="inlineStr">
        <is>
          <t>500kW HV motors, IEC400 frame, VFD suitable</t>
        </is>
      </c>
    </row>
    <row r="21" ht="15.75" customHeight="1" s="64" thickBot="1">
      <c r="A21" s="12" t="inlineStr">
        <is>
          <t>V-020</t>
        </is>
      </c>
      <c r="B21" s="12" t="inlineStr">
        <is>
          <t>Flowserve SANMAR Ltd</t>
        </is>
      </c>
      <c r="C21" s="12" t="inlineStr">
        <is>
          <t>Mechanical Seals</t>
        </is>
      </c>
      <c r="D21" s="12" t="inlineStr">
        <is>
          <t>Chennai, India</t>
        </is>
      </c>
      <c r="E21" s="12" t="n"/>
      <c r="F21" s="12" t="inlineStr">
        <is>
          <t>Mechanical seal supplier - model 2H-104764</t>
        </is>
      </c>
    </row>
    <row r="22" ht="15.75" customHeight="1" s="64" thickBot="1">
      <c r="A22" s="12" t="inlineStr">
        <is>
          <t>V-021</t>
        </is>
      </c>
      <c r="B22" s="12" t="inlineStr">
        <is>
          <t>TIMKEN</t>
        </is>
      </c>
      <c r="C22" s="12" t="inlineStr">
        <is>
          <t>Bearings</t>
        </is>
      </c>
      <c r="D22" s="12" t="inlineStr">
        <is>
          <t>Global / India</t>
        </is>
      </c>
      <c r="E22" s="12" t="n"/>
      <c r="F22" s="12" t="inlineStr">
        <is>
          <t>Taper roller bearing supplier for pump FR500 bearing frame</t>
        </is>
      </c>
    </row>
    <row r="23" ht="15.75" customHeight="1" s="64">
      <c r="A23" s="38" t="inlineStr">
        <is>
          <t>V-022</t>
        </is>
      </c>
      <c r="B23" s="38" t="inlineStr">
        <is>
          <t>Fenner</t>
        </is>
      </c>
      <c r="C23" s="38" t="inlineStr">
        <is>
          <t>Power Transmission</t>
        </is>
      </c>
      <c r="D23" s="38" t="inlineStr">
        <is>
          <t>India</t>
        </is>
      </c>
      <c r="E23" s="38" t="n"/>
      <c r="F23" s="38" t="inlineStr">
        <is>
          <t>V-belt pulley and belt supplier (8V series)</t>
        </is>
      </c>
    </row>
    <row r="24">
      <c r="A24" s="37" t="inlineStr">
        <is>
          <t>V-023</t>
        </is>
      </c>
      <c r="B24" s="37" t="inlineStr">
        <is>
          <t>Wilo Mather &amp; Platt Pumps Pvt Ltd</t>
        </is>
      </c>
      <c r="C24" s="37" t="inlineStr">
        <is>
          <t>Pump OEM</t>
        </is>
      </c>
      <c r="D24" s="37" t="inlineStr">
        <is>
          <t>Pune, Maharashtra, India</t>
        </is>
      </c>
      <c r="E24" s="37" t="n"/>
      <c r="F24" s="37" t="inlineStr">
        <is>
          <t>Horizontal split casing &amp; VTP pumps; GSN series &amp; MPS series; Taljhari/Borio/Sauni Yojana projects</t>
        </is>
      </c>
    </row>
    <row r="25">
      <c r="A25" s="37" t="inlineStr">
        <is>
          <t>V-024</t>
        </is>
      </c>
      <c r="B25" s="37" t="inlineStr">
        <is>
          <t>Jyoti Ltd</t>
        </is>
      </c>
      <c r="C25" s="37" t="inlineStr">
        <is>
          <t>Pump OEM / VTP</t>
        </is>
      </c>
      <c r="D25" s="37" t="inlineStr">
        <is>
          <t>Vadodara, Gujarat, India</t>
        </is>
      </c>
      <c r="E25" s="37" t="n"/>
      <c r="F25" s="37" t="inlineStr">
        <is>
          <t>Vertical Turbine Pumps; 400TE3D4 &amp; 350TE1A4; MP Jal Nigam Pawai project; Customer: Zetwerk</t>
        </is>
      </c>
    </row>
    <row r="26">
      <c r="A26" s="37" t="inlineStr">
        <is>
          <t>V-025</t>
        </is>
      </c>
      <c r="B26" s="37" t="inlineStr">
        <is>
          <t>Kirloskar Electric Company Ltd</t>
        </is>
      </c>
      <c r="C26" s="37" t="inlineStr">
        <is>
          <t>Motors</t>
        </is>
      </c>
      <c r="D26" s="37" t="inlineStr">
        <is>
          <t>Bangalore/Hubli, India</t>
        </is>
      </c>
      <c r="E26" s="37" t="n"/>
      <c r="F26" s="37" t="inlineStr">
        <is>
          <t>LT AC motors; 200kW SA315M frame; Star-Delta start; For Wilo pump packages</t>
        </is>
      </c>
    </row>
    <row r="27">
      <c r="A27" s="37" t="inlineStr">
        <is>
          <t>V-026</t>
        </is>
      </c>
      <c r="B27" s="37" t="inlineStr">
        <is>
          <t>Sudhakara Infratech Private Limited</t>
        </is>
      </c>
      <c r="C27" s="37" t="inlineStr">
        <is>
          <t>LSTK Contractor</t>
        </is>
      </c>
      <c r="D27" s="37" t="inlineStr">
        <is>
          <t>India</t>
        </is>
      </c>
      <c r="E27" s="37" t="n"/>
      <c r="F27" s="37" t="inlineStr">
        <is>
          <t>LSTK contractor for Taljhari &amp; Borio RWS scheme, Sahibganj</t>
        </is>
      </c>
    </row>
    <row r="28">
      <c r="A28" s="37" t="inlineStr">
        <is>
          <t>V-027</t>
        </is>
      </c>
      <c r="B28" t="inlineStr">
        <is>
          <t>ABB India Ltd</t>
        </is>
      </c>
      <c r="C28" t="inlineStr">
        <is>
          <t>Motors</t>
        </is>
      </c>
      <c r="D28" t="inlineStr">
        <is>
          <t>India</t>
        </is>
      </c>
      <c r="F28" t="inlineStr">
        <is>
          <t>15kW IE3 TEFC motor Frame 160M; 2940rpm; for KSB STGC sump pump</t>
        </is>
      </c>
    </row>
    <row r="29">
      <c r="A29" s="37" t="inlineStr">
        <is>
          <t>V-028</t>
        </is>
      </c>
      <c r="B29" t="inlineStr">
        <is>
          <t>KSB Limited (India)</t>
        </is>
      </c>
      <c r="C29" t="inlineStr">
        <is>
          <t>Pump OEM</t>
        </is>
      </c>
      <c r="D29" t="inlineStr">
        <is>
          <t>India</t>
        </is>
      </c>
      <c r="F29" t="inlineStr">
        <is>
          <t>KSB WKT &amp; STGC condensate/sump pumps; VS6 type; NALCO 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12" customWidth="1" style="64" min="1" max="1"/>
    <col width="30" customWidth="1" style="64" min="2" max="2"/>
    <col width="25" customWidth="1" style="64" min="3" max="3"/>
    <col width="15" customWidth="1" style="64" min="4" max="4"/>
    <col width="12" customWidth="1" style="64" min="5" max="8"/>
    <col width="15" customWidth="1" style="64" min="9" max="10"/>
    <col width="94.85546875" customWidth="1" style="64" min="11" max="11"/>
  </cols>
  <sheetData>
    <row r="1" ht="30" customHeight="1" s="64">
      <c r="A1" s="1" t="inlineStr">
        <is>
          <t>Pump_ID</t>
        </is>
      </c>
      <c r="B1" s="1" t="inlineStr">
        <is>
          <t>Model</t>
        </is>
      </c>
      <c r="C1" s="1" t="inlineStr">
        <is>
          <t>Manufacturer</t>
        </is>
      </c>
      <c r="D1" s="1" t="inlineStr">
        <is>
          <t>Type</t>
        </is>
      </c>
      <c r="E1" s="1" t="inlineStr">
        <is>
          <t>Flow_m3h</t>
        </is>
      </c>
      <c r="F1" s="1" t="inlineStr">
        <is>
          <t>Head_m</t>
        </is>
      </c>
      <c r="G1" s="1" t="inlineStr">
        <is>
          <t>Power_kW</t>
        </is>
      </c>
      <c r="H1" s="1" t="inlineStr">
        <is>
          <t>Speed_rpm</t>
        </is>
      </c>
      <c r="I1" s="1" t="inlineStr">
        <is>
          <t>Weight_kg</t>
        </is>
      </c>
      <c r="J1" s="1" t="inlineStr">
        <is>
          <t>Motor_kW</t>
        </is>
      </c>
      <c r="K1" s="1" t="inlineStr">
        <is>
          <t>Project</t>
        </is>
      </c>
    </row>
    <row r="2">
      <c r="A2" s="2" t="inlineStr">
        <is>
          <t>FLW-001</t>
        </is>
      </c>
      <c r="B2" s="2" t="inlineStr">
        <is>
          <t>Flowserve 300-LNN-600</t>
        </is>
      </c>
      <c r="C2" s="2" t="inlineStr">
        <is>
          <t>Flowserve</t>
        </is>
      </c>
      <c r="D2" s="2" t="inlineStr">
        <is>
          <t>Horizontal</t>
        </is>
      </c>
      <c r="E2" s="2" t="inlineStr">
        <is>
          <t>961</t>
        </is>
      </c>
      <c r="F2" s="2" t="inlineStr">
        <is>
          <t>86</t>
        </is>
      </c>
      <c r="G2" s="2" t="inlineStr">
        <is>
          <t>347</t>
        </is>
      </c>
      <c r="H2" s="2" t="inlineStr">
        <is>
          <t>1450</t>
        </is>
      </c>
      <c r="I2" s="2" t="inlineStr">
        <is>
          <t>1160</t>
        </is>
      </c>
      <c r="J2" s="2" t="inlineStr">
        <is>
          <t>550</t>
        </is>
      </c>
      <c r="K2" s="3" t="inlineStr">
        <is>
          <t>NALCO Alumina Refinery</t>
        </is>
      </c>
    </row>
    <row r="3">
      <c r="A3" s="2" t="inlineStr">
        <is>
          <t>KSB-001</t>
        </is>
      </c>
      <c r="B3" s="2" t="inlineStr">
        <is>
          <t>KSB RPH-V 50-360</t>
        </is>
      </c>
      <c r="C3" s="2" t="inlineStr">
        <is>
          <t>KSB</t>
        </is>
      </c>
      <c r="D3" s="2" t="inlineStr">
        <is>
          <t>Vertical</t>
        </is>
      </c>
      <c r="E3" s="2" t="inlineStr">
        <is>
          <t>40</t>
        </is>
      </c>
      <c r="F3" s="2" t="inlineStr">
        <is>
          <t>120</t>
        </is>
      </c>
      <c r="G3" s="2" t="inlineStr">
        <is>
          <t>37.05</t>
        </is>
      </c>
      <c r="H3" s="2" t="inlineStr">
        <is>
          <t>1450</t>
        </is>
      </c>
      <c r="I3" s="2" t="inlineStr">
        <is>
          <t>410</t>
        </is>
      </c>
      <c r="J3" s="2" t="inlineStr">
        <is>
          <t>45</t>
        </is>
      </c>
      <c r="K3" s="3" t="inlineStr">
        <is>
          <t>IOCL LOBS (3 units)</t>
        </is>
      </c>
    </row>
    <row r="4" ht="15.75" customHeight="1" s="64">
      <c r="A4" s="2" t="inlineStr">
        <is>
          <t>KSB-002</t>
        </is>
      </c>
      <c r="B4" s="2" t="inlineStr">
        <is>
          <t>KSB RPH-V 40-180</t>
        </is>
      </c>
      <c r="C4" s="2" t="inlineStr">
        <is>
          <t>KSB</t>
        </is>
      </c>
      <c r="D4" s="2" t="inlineStr">
        <is>
          <t>Vertical</t>
        </is>
      </c>
      <c r="E4" s="2" t="n"/>
      <c r="F4" s="2" t="n"/>
      <c r="G4" s="2" t="n"/>
      <c r="H4" s="2" t="n"/>
      <c r="I4" s="2" t="inlineStr">
        <is>
          <t>350</t>
        </is>
      </c>
      <c r="J4" s="2" t="inlineStr">
        <is>
          <t>5.5</t>
        </is>
      </c>
      <c r="K4" s="3" t="inlineStr">
        <is>
          <t>IOCL LOBS (1 unit)</t>
        </is>
      </c>
    </row>
    <row r="5" ht="15.75" customHeight="1" s="64">
      <c r="A5" s="37" t="inlineStr">
        <is>
          <t>METSO-001</t>
        </is>
      </c>
      <c r="B5" s="37" t="inlineStr">
        <is>
          <t>Metso HM200 MHC-S C5 DDE</t>
        </is>
      </c>
      <c r="C5" s="37" t="inlineStr">
        <is>
          <t>Metso Outotec</t>
        </is>
      </c>
      <c r="D5" s="37" t="inlineStr">
        <is>
          <t>Horizontal Slurry</t>
        </is>
      </c>
      <c r="E5" s="37" t="n">
        <v>1140</v>
      </c>
      <c r="F5" s="37" t="n">
        <v>78</v>
      </c>
      <c r="G5" s="37" t="n">
        <v>366.8</v>
      </c>
      <c r="H5" s="37" t="n">
        <v>1473</v>
      </c>
      <c r="I5" s="37" t="n">
        <v>1010</v>
      </c>
      <c r="J5" s="37" t="n">
        <v>500</v>
      </c>
      <c r="K5" s="37" t="inlineStr">
        <is>
          <t>NALCO Alumina Refinery Stream-5 (Evaporation Unit J &amp; K)</t>
        </is>
      </c>
    </row>
    <row r="6">
      <c r="A6" s="37" t="inlineStr">
        <is>
          <t>WILO-001</t>
        </is>
      </c>
      <c r="B6" s="37" t="inlineStr">
        <is>
          <t>Wilo 150-200-GSN (2-Stage)</t>
        </is>
      </c>
      <c r="C6" s="37" t="inlineStr">
        <is>
          <t>Wilo Mather &amp; Platt</t>
        </is>
      </c>
      <c r="D6" s="37" t="inlineStr">
        <is>
          <t>Horizontal Split Casing</t>
        </is>
      </c>
      <c r="E6" s="37" t="n">
        <v>303.6</v>
      </c>
      <c r="F6" s="37" t="n">
        <v>150</v>
      </c>
      <c r="G6" s="37" t="n">
        <v>163.68</v>
      </c>
      <c r="H6" s="37" t="n">
        <v>1489</v>
      </c>
      <c r="I6" s="37" t="n">
        <v>2175</v>
      </c>
      <c r="J6" s="37" t="n">
        <v>200</v>
      </c>
      <c r="K6" s="37" t="inlineStr">
        <is>
          <t>Taljhari &amp; Borio RWS Scheme, DW&amp;S Sahibganj | Wilo SO 81343152/11 | ESR Taljhari | Clear Water</t>
        </is>
      </c>
    </row>
    <row r="7">
      <c r="A7" s="37" t="inlineStr">
        <is>
          <t>WILO-002</t>
        </is>
      </c>
      <c r="B7" s="37" t="inlineStr">
        <is>
          <t>Wilo 150-200-GSN (2-Stage) Borio</t>
        </is>
      </c>
      <c r="C7" s="37" t="inlineStr">
        <is>
          <t>Wilo Mather &amp; Platt</t>
        </is>
      </c>
      <c r="D7" s="37" t="inlineStr">
        <is>
          <t>Horizontal Split Casing</t>
        </is>
      </c>
      <c r="E7" s="37" t="n">
        <v>310.2</v>
      </c>
      <c r="F7" s="37" t="n">
        <v>143.83</v>
      </c>
      <c r="G7" s="37" t="n">
        <v>159.66</v>
      </c>
      <c r="H7" s="37" t="n">
        <v>1488</v>
      </c>
      <c r="I7" s="37" t="n">
        <v>1823</v>
      </c>
      <c r="J7" s="37" t="n">
        <v>190</v>
      </c>
      <c r="K7" s="37" t="inlineStr">
        <is>
          <t>Taljhari &amp; Borio RWS Scheme, DW&amp;S Sahibganj | Wilo SO 81343152/20 | ESR Borio | Clear Water</t>
        </is>
      </c>
    </row>
    <row r="8">
      <c r="A8" s="37" t="inlineStr">
        <is>
          <t>JYOTI-001</t>
        </is>
      </c>
      <c r="B8" s="37" t="inlineStr">
        <is>
          <t>Jyoti 400TE3D4 (5-Stage VTP)</t>
        </is>
      </c>
      <c r="C8" s="37" t="inlineStr">
        <is>
          <t>Jyoti Ltd</t>
        </is>
      </c>
      <c r="D8" s="37" t="inlineStr">
        <is>
          <t>Vertical Turbine Pump</t>
        </is>
      </c>
      <c r="E8" s="37" t="n">
        <v>614.04</v>
      </c>
      <c r="F8" s="37" t="n">
        <v>116</v>
      </c>
      <c r="G8" s="37" t="n">
        <v>231.68</v>
      </c>
      <c r="H8" s="37" t="n">
        <v>1480</v>
      </c>
      <c r="I8" s="37" t="n">
        <v>5280</v>
      </c>
      <c r="J8" s="37" t="n">
        <v>315</v>
      </c>
      <c r="K8" s="37" t="inlineStr">
        <is>
          <t>MP Jal Nigam Pawai Project | Zetwerk | Report SP-PT25-P31722_3 | 5-stage | 2 nos | Water Supply</t>
        </is>
      </c>
    </row>
    <row r="9">
      <c r="A9" s="37" t="inlineStr">
        <is>
          <t>JYOTI-002</t>
        </is>
      </c>
      <c r="B9" s="37" t="inlineStr">
        <is>
          <t>Jyoti 350TE1A4 (7-Stage VTP)</t>
        </is>
      </c>
      <c r="C9" s="37" t="inlineStr">
        <is>
          <t>Jyoti Ltd</t>
        </is>
      </c>
      <c r="D9" s="37" t="inlineStr">
        <is>
          <t>Vertical Turbine Pump</t>
        </is>
      </c>
      <c r="E9" s="37" t="n">
        <v>307.02</v>
      </c>
      <c r="F9" s="37" t="n">
        <v>116</v>
      </c>
      <c r="G9" s="37" t="n">
        <v>120.49</v>
      </c>
      <c r="H9" s="37" t="n">
        <v>1480</v>
      </c>
      <c r="I9" s="37" t="n">
        <v>3350</v>
      </c>
      <c r="J9" s="37" t="n">
        <v>160</v>
      </c>
      <c r="K9" s="37" t="inlineStr">
        <is>
          <t>MP Jal Nigam Pawai Project | Zetwerk | Report SP-PT25-P31722/1 | 7-stage | 2 nos | Water Supply</t>
        </is>
      </c>
    </row>
    <row r="10">
      <c r="A10" s="37" t="inlineStr">
        <is>
          <t>WILO-003</t>
        </is>
      </c>
      <c r="B10" s="37" t="inlineStr">
        <is>
          <t>Wilo MPS-3 1-Stage VTP</t>
        </is>
      </c>
      <c r="C10" s="37" t="inlineStr">
        <is>
          <t>Wilo Mather &amp; Platt</t>
        </is>
      </c>
      <c r="D10" s="37" t="inlineStr">
        <is>
          <t>Vertical Turbine Pump</t>
        </is>
      </c>
      <c r="E10" s="37" t="n">
        <v>68</v>
      </c>
      <c r="F10" s="37" t="n">
        <v>68</v>
      </c>
      <c r="G10" s="37" t="n"/>
      <c r="H10" s="37" t="n">
        <v>1482</v>
      </c>
      <c r="I10" s="37" t="n"/>
      <c r="J10" s="37" t="n">
        <v>260</v>
      </c>
      <c r="K10" s="37" t="inlineStr">
        <is>
          <t>Sauni Yojana Link-2 Package-9 | Zetwerk | GAD 81332087-10 | 1-stage | FPS-8 Shell Dedumal | Water Supply</t>
        </is>
      </c>
    </row>
    <row r="11">
      <c r="A11" t="inlineStr">
        <is>
          <t>KSB-003</t>
        </is>
      </c>
      <c r="B11" t="inlineStr">
        <is>
          <t>KSB WKT 80/9 (Live Steam Condensate)</t>
        </is>
      </c>
      <c r="C11" t="inlineStr">
        <is>
          <t>KSB</t>
        </is>
      </c>
      <c r="D11" t="inlineStr">
        <is>
          <t>Vertical Turbine Pump VS6</t>
        </is>
      </c>
      <c r="E11" t="n">
        <v>44.5</v>
      </c>
      <c r="F11" t="n">
        <v>113.2</v>
      </c>
      <c r="G11" t="n">
        <v>24.26</v>
      </c>
      <c r="H11" t="n">
        <v>1480</v>
      </c>
      <c r="I11" t="n">
        <v>1561</v>
      </c>
      <c r="J11" t="n">
        <v>30</v>
      </c>
      <c r="K11" t="inlineStr">
        <is>
          <t>NALCO Alumina Refinery Stream-5 | Tags 08PU-J5821A/B &amp; 08PU-K5821A/B | KSB Order 9975603447/300 | Live Steam Condensate | Evap Unit J&amp;K | 4 Nos | DS-ME-114</t>
        </is>
      </c>
    </row>
    <row r="12">
      <c r="A12" t="inlineStr">
        <is>
          <t>KSB-004</t>
        </is>
      </c>
      <c r="B12" t="inlineStr">
        <is>
          <t>KSB STGC 050-160-CC-WDL (Dilute Acid Sump)</t>
        </is>
      </c>
      <c r="C12" t="inlineStr">
        <is>
          <t>KSB</t>
        </is>
      </c>
      <c r="D12" t="inlineStr">
        <is>
          <t>Vertical Sump Pump VS6</t>
        </is>
      </c>
      <c r="E12" t="n">
        <v>80</v>
      </c>
      <c r="F12" t="n">
        <v>30</v>
      </c>
      <c r="H12" t="n">
        <v>2940</v>
      </c>
      <c r="I12" t="n">
        <v>319</v>
      </c>
      <c r="J12" t="n">
        <v>15</v>
      </c>
      <c r="K12" t="inlineStr">
        <is>
          <t>NALCO Alumina Refinery Stream-5 | Tag 08PU-J5893 | KSB Order 9975641078/0100 | Dilute Sulphuric Acid Sump | Evaporation Unit | 1 No | F9975641078-1 R5</t>
        </is>
      </c>
    </row>
    <row r="13">
      <c r="A13" t="inlineStr">
        <is>
          <t>KSB-005</t>
        </is>
      </c>
      <c r="B13" t="inlineStr">
        <is>
          <t>KSB VS6 Process Condensate Pump</t>
        </is>
      </c>
      <c r="C13" t="inlineStr">
        <is>
          <t>KSB</t>
        </is>
      </c>
      <c r="D13" t="inlineStr">
        <is>
          <t>Vertical Turbine Pump VS6</t>
        </is>
      </c>
      <c r="E13" t="n">
        <v>172</v>
      </c>
      <c r="F13" t="n">
        <v>74.3</v>
      </c>
      <c r="H13" t="n">
        <v>1450</v>
      </c>
      <c r="K13" t="inlineStr">
        <is>
          <t>NALCO Alumina Refinery Stream-5 | Tags 08PU-J5813A/B &amp; 08PU-K5813A/B | Process Condensate | Evap Unit J&amp;K | 4 Nos | DS-ME-115 | CS WCB casing, SS2324 impeller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topLeftCell="A4" workbookViewId="0">
      <selection activeCell="B44" sqref="B44"/>
    </sheetView>
  </sheetViews>
  <sheetFormatPr baseColWidth="8" defaultRowHeight="15"/>
  <cols>
    <col width="27.5703125" customWidth="1" style="64" min="1" max="1"/>
    <col width="40" customWidth="1" style="64" min="2" max="2"/>
    <col width="35" customWidth="1" style="64" min="3" max="3"/>
    <col width="30" customWidth="1" style="64" min="4" max="4"/>
    <col width="18" customWidth="1" style="64" min="5" max="5"/>
    <col width="21.7109375" customWidth="1" style="64" min="6" max="6"/>
  </cols>
  <sheetData>
    <row r="1" ht="18" customHeight="1" s="64">
      <c r="A1" s="4" t="inlineStr">
        <is>
          <t>PUMP DISSECTION SUMMARY</t>
        </is>
      </c>
      <c r="B1" s="5" t="n"/>
      <c r="C1" s="5" t="n"/>
      <c r="D1" s="5" t="n"/>
      <c r="E1" s="5" t="n"/>
      <c r="F1" s="5" t="n"/>
    </row>
    <row r="2">
      <c r="A2" s="6" t="inlineStr">
        <is>
          <t>Model:</t>
        </is>
      </c>
      <c r="B2" s="6" t="inlineStr">
        <is>
          <t>Metso HM200 MHC-S C5 DDE</t>
        </is>
      </c>
      <c r="C2" s="6" t="n"/>
      <c r="D2" s="6" t="inlineStr">
        <is>
          <t>Project:</t>
        </is>
      </c>
      <c r="E2" s="6" t="inlineStr">
        <is>
          <t>NALCO 1.0 MTPA Alumina Refinery Stream-5</t>
        </is>
      </c>
      <c r="F2" s="6" t="n"/>
    </row>
    <row r="3">
      <c r="A3" s="6" t="inlineStr">
        <is>
          <t>Tag Nos:</t>
        </is>
      </c>
      <c r="B3" s="6" t="inlineStr">
        <is>
          <t>08PU-J5801 A/B; 08PU-K5801 A/B (4 units total)</t>
        </is>
      </c>
      <c r="C3" s="6" t="n"/>
      <c r="D3" s="6" t="inlineStr">
        <is>
          <t>Service:</t>
        </is>
      </c>
      <c r="E3" s="6" t="inlineStr">
        <is>
          <t>Feed Liquor Booster Pump</t>
        </is>
      </c>
      <c r="F3" s="6" t="n"/>
    </row>
    <row r="4">
      <c r="A4" s="6" t="inlineStr">
        <is>
          <t>Manufacturer:</t>
        </is>
      </c>
      <c r="B4" s="6" t="inlineStr">
        <is>
          <t>Metso Outotec India Pvt. Ltd. (Alwar)</t>
        </is>
      </c>
      <c r="C4" s="6" t="n"/>
      <c r="D4" s="6" t="inlineStr">
        <is>
          <t>Fluid:</t>
        </is>
      </c>
      <c r="E4" s="6" t="inlineStr">
        <is>
          <t>Caustic Liquor (Aluminium Liquor)</t>
        </is>
      </c>
      <c r="F4" s="6" t="n"/>
    </row>
    <row r="5">
      <c r="A5" s="6" t="inlineStr">
        <is>
          <t>Doc Ref:</t>
        </is>
      </c>
      <c r="B5" s="6" t="inlineStr">
        <is>
          <t>OG05Z-EQP-508-DZ-0002-002 Rev 9</t>
        </is>
      </c>
      <c r="C5" s="6" t="n"/>
      <c r="D5" s="6" t="inlineStr">
        <is>
          <t>Date Extracted:</t>
        </is>
      </c>
      <c r="E5" s="17" t="n">
        <v>45712</v>
      </c>
      <c r="F5" s="6" t="n"/>
    </row>
    <row r="7">
      <c r="A7" s="4" t="inlineStr">
        <is>
          <t>PUMP PERFORMANCE DATA</t>
        </is>
      </c>
      <c r="B7" s="7" t="n"/>
      <c r="C7" s="7" t="n"/>
      <c r="D7" s="7" t="n"/>
      <c r="E7" s="7" t="n"/>
      <c r="F7" s="7" t="n"/>
    </row>
    <row r="8">
      <c r="A8" s="8" t="inlineStr">
        <is>
          <t>Parameter</t>
        </is>
      </c>
      <c r="B8" s="9" t="inlineStr">
        <is>
          <t>Min Flow</t>
        </is>
      </c>
      <c r="C8" s="9" t="inlineStr">
        <is>
          <t>Normal</t>
        </is>
      </c>
      <c r="D8" s="9" t="inlineStr">
        <is>
          <t>Rated</t>
        </is>
      </c>
      <c r="E8" s="9" t="inlineStr">
        <is>
          <t>Max (BKW)</t>
        </is>
      </c>
      <c r="F8" s="9" t="inlineStr">
        <is>
          <t>Units</t>
        </is>
      </c>
    </row>
    <row r="9">
      <c r="A9" s="6" t="inlineStr">
        <is>
          <t>Speed</t>
        </is>
      </c>
      <c r="B9" s="6" t="n">
        <v>934</v>
      </c>
      <c r="C9" s="6" t="n">
        <v>1221</v>
      </c>
      <c r="D9" s="6" t="n">
        <v>1473</v>
      </c>
      <c r="E9" s="6" t="n">
        <v>1473</v>
      </c>
      <c r="F9" s="6" t="inlineStr">
        <is>
          <t>rpm</t>
        </is>
      </c>
    </row>
    <row r="10">
      <c r="A10" s="6" t="inlineStr">
        <is>
          <t>Flow</t>
        </is>
      </c>
      <c r="B10" s="6" t="n">
        <v>650</v>
      </c>
      <c r="C10" s="6" t="n">
        <v>929</v>
      </c>
      <c r="D10" s="6" t="n">
        <v>1140</v>
      </c>
      <c r="E10" s="6" t="n">
        <v>1173</v>
      </c>
      <c r="F10" s="6" t="inlineStr">
        <is>
          <t>m³/h</t>
        </is>
      </c>
    </row>
    <row r="11">
      <c r="A11" s="6" t="inlineStr">
        <is>
          <t>Slurry Head</t>
        </is>
      </c>
      <c r="B11" s="6" t="n">
        <v>33</v>
      </c>
      <c r="C11" s="6" t="n">
        <v>54</v>
      </c>
      <c r="D11" s="6" t="n">
        <v>78</v>
      </c>
      <c r="E11" s="6" t="n">
        <v>79</v>
      </c>
      <c r="F11" s="6" t="inlineStr">
        <is>
          <t>m</t>
        </is>
      </c>
    </row>
    <row r="12">
      <c r="A12" s="6" t="inlineStr">
        <is>
          <t>Pump Power (Slurry)</t>
        </is>
      </c>
      <c r="B12" s="6" t="n">
        <v>89.40000000000001</v>
      </c>
      <c r="C12" s="6" t="n">
        <v>207.7</v>
      </c>
      <c r="D12" s="6" t="n">
        <v>366.8</v>
      </c>
      <c r="E12" s="6" t="n">
        <v>382.7</v>
      </c>
      <c r="F12" s="6" t="inlineStr">
        <is>
          <t>kW</t>
        </is>
      </c>
    </row>
    <row r="13">
      <c r="A13" s="6" t="inlineStr">
        <is>
          <t>Efficiency</t>
        </is>
      </c>
      <c r="B13" s="6" t="inlineStr">
        <is>
          <t>81.3%</t>
        </is>
      </c>
      <c r="C13" s="6" t="inlineStr">
        <is>
          <t>81.9%</t>
        </is>
      </c>
      <c r="D13" s="6" t="inlineStr">
        <is>
          <t>82.2%</t>
        </is>
      </c>
      <c r="E13" s="6" t="inlineStr">
        <is>
          <t>82.1%</t>
        </is>
      </c>
      <c r="F13" s="6" t="inlineStr">
        <is>
          <t>%</t>
        </is>
      </c>
    </row>
    <row r="14">
      <c r="A14" s="6" t="inlineStr">
        <is>
          <t>Shutoff Head</t>
        </is>
      </c>
      <c r="B14" s="6" t="n">
        <v>40.6</v>
      </c>
      <c r="C14" s="6" t="n">
        <v>69.40000000000001</v>
      </c>
      <c r="D14" s="6" t="n">
        <v>101.1</v>
      </c>
      <c r="E14" s="6" t="n">
        <v>103.4</v>
      </c>
      <c r="F14" s="6" t="inlineStr">
        <is>
          <t>m</t>
        </is>
      </c>
    </row>
    <row r="15">
      <c r="A15" s="6" t="inlineStr">
        <is>
          <t>Seal Arrangement</t>
        </is>
      </c>
      <c r="B15" s="6" t="inlineStr">
        <is>
          <t>Mech. Seal</t>
        </is>
      </c>
      <c r="C15" s="6" t="inlineStr">
        <is>
          <t>Mech. Seal</t>
        </is>
      </c>
      <c r="D15" s="6" t="inlineStr">
        <is>
          <t>Mech. Seal</t>
        </is>
      </c>
      <c r="E15" s="6" t="inlineStr">
        <is>
          <t>Mech. Seal</t>
        </is>
      </c>
      <c r="F15" s="6" t="n"/>
    </row>
    <row r="17">
      <c r="A17" s="4" t="inlineStr">
        <is>
          <t>OPERATING CONDITIONS</t>
        </is>
      </c>
      <c r="B17" s="7" t="n"/>
      <c r="C17" s="7" t="n"/>
      <c r="D17" s="7" t="n"/>
      <c r="E17" s="7" t="n"/>
      <c r="F17" s="7" t="n"/>
    </row>
    <row r="18">
      <c r="A18" s="6" t="inlineStr">
        <is>
          <t>Fluid</t>
        </is>
      </c>
      <c r="B18" s="6" t="inlineStr">
        <is>
          <t>Caustic Liquor (Alumina/Aluminium Oxide)</t>
        </is>
      </c>
      <c r="C18" s="6" t="n"/>
      <c r="D18" s="6" t="n"/>
      <c r="E18" s="6" t="n"/>
      <c r="F18" s="6" t="n"/>
    </row>
    <row r="19">
      <c r="A19" s="6" t="inlineStr">
        <is>
          <t>Density</t>
        </is>
      </c>
      <c r="B19" s="6" t="inlineStr">
        <is>
          <t>1244 kg/m³</t>
        </is>
      </c>
      <c r="C19" s="6" t="n"/>
      <c r="D19" s="6" t="inlineStr">
        <is>
          <t>Viscosity</t>
        </is>
      </c>
      <c r="E19" s="6" t="inlineStr">
        <is>
          <t>1.7 mPa.s</t>
        </is>
      </c>
      <c r="F19" s="6" t="n"/>
    </row>
    <row r="20">
      <c r="A20" s="6" t="inlineStr">
        <is>
          <t>Op. Temperature</t>
        </is>
      </c>
      <c r="B20" s="6" t="inlineStr">
        <is>
          <t>79°C (max 100°C slurry)</t>
        </is>
      </c>
      <c r="C20" s="6" t="n"/>
      <c r="D20" s="6" t="inlineStr">
        <is>
          <t>Vapour Pressure</t>
        </is>
      </c>
      <c r="E20" s="6" t="inlineStr">
        <is>
          <t>33 kPa(a)</t>
        </is>
      </c>
      <c r="F20" s="6" t="n"/>
    </row>
    <row r="21">
      <c r="A21" s="6" t="inlineStr">
        <is>
          <t>Inlet Pressure (Normal)</t>
        </is>
      </c>
      <c r="B21" s="6" t="inlineStr">
        <is>
          <t>337 kPa(g)</t>
        </is>
      </c>
      <c r="C21" s="6" t="n"/>
      <c r="D21" s="6" t="inlineStr">
        <is>
          <t>NPSHA</t>
        </is>
      </c>
      <c r="E21" s="6" t="inlineStr">
        <is>
          <t>&gt;15 m</t>
        </is>
      </c>
      <c r="F21" s="6" t="n"/>
    </row>
    <row r="22">
      <c r="A22" s="6" t="inlineStr">
        <is>
          <t>NPSHR</t>
        </is>
      </c>
      <c r="B22" s="6" t="inlineStr">
        <is>
          <t>13.8 m</t>
        </is>
      </c>
      <c r="C22" s="6" t="n"/>
      <c r="D22" s="6" t="inlineStr">
        <is>
          <t>Min. Allowable Flow</t>
        </is>
      </c>
      <c r="E22" s="6" t="inlineStr">
        <is>
          <t>850 m³/h</t>
        </is>
      </c>
      <c r="F22" s="6" t="n"/>
    </row>
    <row r="23">
      <c r="A23" s="4" t="inlineStr">
        <is>
          <t>Electrical data</t>
        </is>
      </c>
      <c r="B23" s="6" t="n"/>
      <c r="C23" s="6" t="n"/>
      <c r="D23" s="6" t="n"/>
      <c r="E23" s="6" t="n"/>
      <c r="F23" s="6" t="n"/>
    </row>
    <row r="24">
      <c r="A24" s="6" t="inlineStr">
        <is>
          <t>Motor type - Squirrel Cage</t>
        </is>
      </c>
    </row>
    <row r="25">
      <c r="A25" s="4" t="inlineStr">
        <is>
          <t>MATERIAL OF CONSTRUCTION</t>
        </is>
      </c>
      <c r="B25" s="7" t="n"/>
      <c r="C25" s="7" t="n"/>
      <c r="D25" s="7" t="n"/>
      <c r="E25" s="7" t="n"/>
      <c r="F25" s="7" t="n"/>
    </row>
    <row r="26">
      <c r="A26" s="6" t="inlineStr">
        <is>
          <t>Component</t>
        </is>
      </c>
      <c r="B26" s="6" t="inlineStr">
        <is>
          <t>Material</t>
        </is>
      </c>
      <c r="C26" s="6" t="inlineStr">
        <is>
          <t>Standard/Spec</t>
        </is>
      </c>
      <c r="D26" s="6" t="inlineStr">
        <is>
          <t>Notes</t>
        </is>
      </c>
      <c r="E26" s="6" t="n"/>
      <c r="F26" s="6" t="n"/>
    </row>
    <row r="27">
      <c r="A27" s="6" t="inlineStr">
        <is>
          <t>Casing / Impeller / Back Liner</t>
        </is>
      </c>
      <c r="B27" s="6" t="inlineStr">
        <is>
          <t>High Chrome White Iron</t>
        </is>
      </c>
      <c r="C27" s="6" t="inlineStr">
        <is>
          <t>ASTM A532 GR.IIIA (GPS800)</t>
        </is>
      </c>
      <c r="D27" s="6" t="inlineStr">
        <is>
          <t>Metso internal code GPS800</t>
        </is>
      </c>
      <c r="E27" s="6" t="n"/>
      <c r="F27" s="6" t="n"/>
    </row>
    <row r="28">
      <c r="A28" s="6" t="inlineStr">
        <is>
          <t>Shaft</t>
        </is>
      </c>
      <c r="B28" s="6" t="inlineStr">
        <is>
          <t>EN24 Alloy Steel</t>
        </is>
      </c>
      <c r="C28" s="6" t="inlineStr">
        <is>
          <t>BS970</t>
        </is>
      </c>
      <c r="D28" s="6" t="inlineStr">
        <is>
          <t>High tensile</t>
        </is>
      </c>
      <c r="E28" s="6" t="n"/>
      <c r="F28" s="6" t="n"/>
    </row>
    <row r="29">
      <c r="A29" s="6" t="inlineStr">
        <is>
          <t>Shaft Sleeve</t>
        </is>
      </c>
      <c r="B29" s="6" t="inlineStr">
        <is>
          <t>Stainless Steel 316</t>
        </is>
      </c>
      <c r="C29" s="6" t="inlineStr">
        <is>
          <t>1.4436</t>
        </is>
      </c>
      <c r="D29" s="6" t="inlineStr">
        <is>
          <t>Under seal</t>
        </is>
      </c>
      <c r="E29" s="6" t="n"/>
      <c r="F29" s="6" t="n"/>
    </row>
    <row r="30">
      <c r="A30" s="6" t="inlineStr">
        <is>
          <t>Bearing Frame</t>
        </is>
      </c>
      <c r="B30" s="6" t="inlineStr">
        <is>
          <t>Mild Steel IS:2062</t>
        </is>
      </c>
      <c r="C30" s="6" t="inlineStr">
        <is>
          <t>E250BR</t>
        </is>
      </c>
      <c r="D30" s="6" t="n"/>
      <c r="E30" s="6" t="n"/>
      <c r="F30" s="6" t="n"/>
    </row>
    <row r="31">
      <c r="A31" s="6" t="inlineStr">
        <is>
          <t>Bearing Housing</t>
        </is>
      </c>
      <c r="B31" s="6" t="inlineStr">
        <is>
          <t>SG Iron GR.500/7</t>
        </is>
      </c>
      <c r="C31" s="6" t="inlineStr">
        <is>
          <t>BS2789</t>
        </is>
      </c>
      <c r="D31" s="6" t="n"/>
      <c r="E31" s="6" t="n"/>
      <c r="F31" s="6" t="n"/>
    </row>
    <row r="32">
      <c r="A32" s="6" t="inlineStr">
        <is>
          <t>Casing Bolts</t>
        </is>
      </c>
      <c r="B32" s="6" t="inlineStr">
        <is>
          <t>A197 2H &amp; A192B7</t>
        </is>
      </c>
      <c r="C32" s="6" t="inlineStr">
        <is>
          <t>ASTM</t>
        </is>
      </c>
      <c r="D32" s="6" t="n"/>
      <c r="E32" s="6" t="n"/>
      <c r="F32" s="6" t="n"/>
    </row>
    <row r="33">
      <c r="A33" s="6" t="inlineStr">
        <is>
          <t>O-Rings / Gaskets</t>
        </is>
      </c>
      <c r="B33" s="6" t="inlineStr">
        <is>
          <t>NBR 70 Shore</t>
        </is>
      </c>
      <c r="C33" s="6" t="inlineStr">
        <is>
          <t>SMS1586</t>
        </is>
      </c>
      <c r="D33" s="6" t="inlineStr">
        <is>
          <t>NR 70° SH</t>
        </is>
      </c>
      <c r="E33" s="6" t="n"/>
      <c r="F33" s="6" t="n"/>
    </row>
    <row r="35">
      <c r="A35" s="4" t="inlineStr">
        <is>
          <t>WEIGHTS (FROM GA DRAWING SAL537200)</t>
        </is>
      </c>
      <c r="B35" s="7" t="n"/>
      <c r="C35" s="7" t="n"/>
      <c r="D35" s="7" t="n"/>
      <c r="E35" s="7" t="n"/>
      <c r="F35" s="7" t="n"/>
    </row>
    <row r="36">
      <c r="A36" s="6" t="inlineStr">
        <is>
          <t>Component</t>
        </is>
      </c>
      <c r="B36" s="6" t="inlineStr">
        <is>
          <t>Weight (kg)</t>
        </is>
      </c>
      <c r="C36" s="6" t="n"/>
      <c r="D36" s="6" t="n"/>
      <c r="E36" s="6" t="n"/>
      <c r="F36" s="6" t="n"/>
    </row>
    <row r="37">
      <c r="A37" s="6" t="inlineStr">
        <is>
          <t>Pump (bare)</t>
        </is>
      </c>
      <c r="B37" s="6" t="n">
        <v>1010</v>
      </c>
      <c r="C37" s="6" t="n"/>
      <c r="D37" s="6" t="n"/>
      <c r="E37" s="6" t="n"/>
      <c r="F37" s="6" t="n"/>
    </row>
    <row r="38">
      <c r="A38" s="8" t="inlineStr">
        <is>
          <t>Motor (Innomotics 500kW)</t>
        </is>
      </c>
      <c r="B38" s="9" t="n">
        <v>3400</v>
      </c>
      <c r="C38" s="9" t="n"/>
      <c r="D38" s="9" t="n"/>
      <c r="E38" s="9" t="n"/>
      <c r="F38" s="9" t="n"/>
    </row>
    <row r="39">
      <c r="A39" s="6" t="inlineStr">
        <is>
          <t>V-Belt Guard</t>
        </is>
      </c>
      <c r="B39" s="6" t="n">
        <v>107</v>
      </c>
      <c r="C39" s="6" t="n"/>
      <c r="D39" s="6" t="n"/>
      <c r="E39" s="6" t="n"/>
      <c r="F39" s="6" t="n"/>
    </row>
    <row r="40">
      <c r="A40" s="6" t="inlineStr">
        <is>
          <t>Bed Frame with Motor Support</t>
        </is>
      </c>
      <c r="B40" s="6" t="n">
        <v>792</v>
      </c>
      <c r="C40" s="6" t="n"/>
      <c r="D40" s="6" t="n"/>
      <c r="E40" s="6" t="n"/>
      <c r="F40" s="6" t="n"/>
    </row>
    <row r="41">
      <c r="A41" s="6" t="inlineStr">
        <is>
          <t>TOTAL ASSEMBLY WEIGHT</t>
        </is>
      </c>
      <c r="B41" s="6" t="n">
        <v>5390</v>
      </c>
      <c r="C41" s="6">
        <f>SUM(B37:B40)</f>
        <v/>
      </c>
      <c r="D41" s="6" t="n"/>
      <c r="E41" s="6" t="n"/>
      <c r="F41" s="6" t="n"/>
    </row>
    <row r="43">
      <c r="A43" s="8" t="inlineStr">
        <is>
          <t>MOTOR DATA (Innomotics 1LA4400-4AW00-Z)</t>
        </is>
      </c>
      <c r="B43" s="9" t="n"/>
      <c r="C43" s="9" t="n"/>
      <c r="D43" s="9" t="n"/>
      <c r="E43" s="9" t="n"/>
      <c r="F43" s="9" t="n"/>
    </row>
    <row r="44">
      <c r="A44" s="6" t="inlineStr">
        <is>
          <t>Rated Power</t>
        </is>
      </c>
      <c r="B44" s="6" t="inlineStr">
        <is>
          <t>500 kW</t>
        </is>
      </c>
      <c r="C44" s="6" t="n"/>
      <c r="D44" s="6" t="inlineStr">
        <is>
          <t>Frame</t>
        </is>
      </c>
      <c r="E44" s="6" t="inlineStr">
        <is>
          <t>IEC400</t>
        </is>
      </c>
      <c r="F44" s="6" t="n"/>
    </row>
    <row r="45">
      <c r="A45" s="6" t="inlineStr">
        <is>
          <t>Voltage</t>
        </is>
      </c>
      <c r="B45" s="6" t="inlineStr">
        <is>
          <t>690 V</t>
        </is>
      </c>
      <c r="C45" s="6" t="n"/>
      <c r="D45" s="6" t="inlineStr">
        <is>
          <t>Poles</t>
        </is>
      </c>
      <c r="E45" s="6" t="inlineStr">
        <is>
          <t>4</t>
        </is>
      </c>
      <c r="F45" s="6" t="n"/>
    </row>
    <row r="46">
      <c r="A46" s="6" t="inlineStr">
        <is>
          <t>Frequency</t>
        </is>
      </c>
      <c r="B46" s="6" t="inlineStr">
        <is>
          <t>50 Hz</t>
        </is>
      </c>
      <c r="C46" s="6" t="n"/>
      <c r="D46" s="6" t="inlineStr">
        <is>
          <t>Rated Speed</t>
        </is>
      </c>
      <c r="E46" s="6" t="inlineStr">
        <is>
          <t>1491 rpm</t>
        </is>
      </c>
      <c r="F46" s="6" t="n"/>
    </row>
    <row r="47">
      <c r="A47" s="6" t="inlineStr">
        <is>
          <t>Rated Current</t>
        </is>
      </c>
      <c r="B47" s="6" t="inlineStr">
        <is>
          <t>570 A</t>
        </is>
      </c>
      <c r="C47" s="6" t="n"/>
      <c r="D47" s="6" t="inlineStr">
        <is>
          <t>Rated Torque</t>
        </is>
      </c>
      <c r="E47" s="6" t="inlineStr">
        <is>
          <t>3203 Nm</t>
        </is>
      </c>
      <c r="F47" s="6" t="n"/>
    </row>
    <row r="48">
      <c r="A48" s="6" t="inlineStr">
        <is>
          <t>Power Factor</t>
        </is>
      </c>
      <c r="B48" s="6" t="inlineStr">
        <is>
          <t>0.78</t>
        </is>
      </c>
      <c r="C48" s="6" t="n"/>
      <c r="D48" s="6" t="inlineStr">
        <is>
          <t>Efficiency @100%</t>
        </is>
      </c>
      <c r="E48" s="6" t="inlineStr">
        <is>
          <t>94.6%</t>
        </is>
      </c>
      <c r="F48" s="6" t="n"/>
    </row>
    <row r="49">
      <c r="A49" s="6" t="inlineStr">
        <is>
          <t>IP Rating</t>
        </is>
      </c>
      <c r="B49" s="6" t="inlineStr">
        <is>
          <t>IP55</t>
        </is>
      </c>
      <c r="C49" s="6" t="n"/>
      <c r="D49" s="6" t="inlineStr">
        <is>
          <t>Cooling</t>
        </is>
      </c>
      <c r="E49" s="6" t="inlineStr">
        <is>
          <t>IC411</t>
        </is>
      </c>
      <c r="F49" s="6" t="n"/>
    </row>
    <row r="50">
      <c r="A50" s="6" t="inlineStr">
        <is>
          <t>Insulation Class</t>
        </is>
      </c>
      <c r="B50" s="6" t="inlineStr">
        <is>
          <t>F (design) / B (utilization)</t>
        </is>
      </c>
      <c r="C50" s="6" t="n"/>
      <c r="D50" s="6" t="inlineStr">
        <is>
          <t>Duty</t>
        </is>
      </c>
      <c r="E50" s="6" t="inlineStr">
        <is>
          <t>S1 Continuous</t>
        </is>
      </c>
      <c r="F50" s="6" t="n"/>
    </row>
    <row r="51">
      <c r="A51" s="6" t="inlineStr">
        <is>
          <t>GD2 (Motor)</t>
        </is>
      </c>
      <c r="B51" s="6" t="inlineStr">
        <is>
          <t>11.6 kgm²</t>
        </is>
      </c>
      <c r="C51" s="6" t="n"/>
      <c r="D51" s="6" t="inlineStr">
        <is>
          <t>GD2 (Pump)</t>
        </is>
      </c>
      <c r="E51" s="6" t="inlineStr">
        <is>
          <t>5.08 kgm²</t>
        </is>
      </c>
      <c r="F51" s="6" t="n"/>
    </row>
    <row r="52">
      <c r="A52" s="6" t="inlineStr">
        <is>
          <t>DE Bearing</t>
        </is>
      </c>
      <c r="B52" s="6" t="inlineStr">
        <is>
          <t>SKF NU328E (grease)</t>
        </is>
      </c>
      <c r="C52" s="6" t="n"/>
      <c r="D52" s="6" t="inlineStr">
        <is>
          <t>NDE Bearing</t>
        </is>
      </c>
      <c r="E52" s="6" t="inlineStr">
        <is>
          <t>SKF 6224C3 Insulated (grease)</t>
        </is>
      </c>
      <c r="F52" s="6" t="n"/>
    </row>
    <row r="54">
      <c r="A54" s="4" t="inlineStr">
        <is>
          <t>DRIVE DETAILS</t>
        </is>
      </c>
      <c r="B54" s="7" t="n"/>
      <c r="C54" s="7" t="n"/>
      <c r="D54" s="7" t="n"/>
      <c r="E54" s="7" t="n"/>
      <c r="F54" s="7" t="n"/>
    </row>
    <row r="55">
      <c r="A55" s="6" t="inlineStr">
        <is>
          <t>Drive Type</t>
        </is>
      </c>
      <c r="B55" s="6" t="inlineStr">
        <is>
          <t>V-Belt (not direct coupled)</t>
        </is>
      </c>
      <c r="C55" s="6" t="n"/>
      <c r="D55" s="6" t="n"/>
      <c r="E55" s="6" t="n"/>
      <c r="F55" s="6" t="n"/>
    </row>
    <row r="56">
      <c r="A56" s="6" t="inlineStr">
        <is>
          <t>V-Belt</t>
        </is>
      </c>
      <c r="B56" s="6" t="inlineStr">
        <is>
          <t>10 x 8V-1600 (4060mm length)</t>
        </is>
      </c>
      <c r="C56" s="6" t="n"/>
      <c r="D56" s="6" t="n"/>
      <c r="E56" s="6" t="n"/>
      <c r="F56" s="6" t="n"/>
    </row>
    <row r="57">
      <c r="A57" s="6" t="inlineStr">
        <is>
          <t>Motor Pulley</t>
        </is>
      </c>
      <c r="B57" s="6" t="inlineStr">
        <is>
          <t>500mm PCD, 10G x 8V, Bush 5050/D110</t>
        </is>
      </c>
      <c r="C57" s="6" t="n"/>
      <c r="D57" s="6" t="n"/>
      <c r="E57" s="6" t="n"/>
      <c r="F57" s="6" t="n"/>
    </row>
    <row r="58">
      <c r="A58" s="6" t="inlineStr">
        <is>
          <t>Pump Pulley</t>
        </is>
      </c>
      <c r="B58" s="6" t="inlineStr">
        <is>
          <t>500mm PCD, 10G x 8V, Bush 5050/D80</t>
        </is>
      </c>
      <c r="C58" s="6" t="n"/>
      <c r="D58" s="6" t="n"/>
      <c r="E58" s="6" t="n"/>
      <c r="F58" s="6" t="n"/>
    </row>
    <row r="60">
      <c r="A60" s="8" t="inlineStr">
        <is>
          <t>MECHANICAL SEAL (Flowserve SANMAR)</t>
        </is>
      </c>
      <c r="B60" s="9" t="n"/>
      <c r="C60" s="9" t="n"/>
      <c r="D60" s="9" t="n"/>
      <c r="E60" s="9" t="n"/>
      <c r="F60" s="9" t="n"/>
    </row>
    <row r="61">
      <c r="A61" s="6" t="inlineStr">
        <is>
          <t>Seal Model</t>
        </is>
      </c>
      <c r="B61" s="6" t="inlineStr">
        <is>
          <t>2H-104764 (Single Cartridge)</t>
        </is>
      </c>
      <c r="C61" s="6" t="n"/>
      <c r="D61" s="6" t="inlineStr">
        <is>
          <t>Plan</t>
        </is>
      </c>
      <c r="E61" s="6" t="inlineStr">
        <is>
          <t>API Plan 62 + SLD</t>
        </is>
      </c>
      <c r="F61" s="6" t="n"/>
    </row>
    <row r="62">
      <c r="A62" s="6" t="inlineStr">
        <is>
          <t>Seal Part No.</t>
        </is>
      </c>
      <c r="B62" s="6" t="inlineStr">
        <is>
          <t>AX03-900016694</t>
        </is>
      </c>
      <c r="C62" s="6" t="n"/>
      <c r="D62" s="6" t="inlineStr">
        <is>
          <t>Size</t>
        </is>
      </c>
      <c r="E62" s="6" t="inlineStr">
        <is>
          <t>5.875"</t>
        </is>
      </c>
      <c r="F62" s="6" t="n"/>
    </row>
    <row r="63">
      <c r="A63" s="8" t="inlineStr">
        <is>
          <t>Seal Type</t>
        </is>
      </c>
      <c r="B63" s="9" t="inlineStr">
        <is>
          <t>Single mech seal with SLD (Synthetic Lubricating Device)</t>
        </is>
      </c>
      <c r="C63" s="9" t="n"/>
      <c r="D63" s="9" t="n"/>
      <c r="E63" s="9" t="n"/>
      <c r="F63" s="9" t="n"/>
    </row>
    <row r="65">
      <c r="A65" s="6" t="inlineStr">
        <is>
          <t>PUMP EXPANDED PARTS LIST (from Metso dwg SAL537198)</t>
        </is>
      </c>
      <c r="B65" s="6" t="n"/>
      <c r="C65" s="6" t="n"/>
      <c r="D65" s="6" t="n"/>
      <c r="E65" s="6" t="n"/>
      <c r="F65" s="6" t="n"/>
    </row>
    <row r="66">
      <c r="A66" s="6" t="inlineStr">
        <is>
          <t>Item</t>
        </is>
      </c>
      <c r="B66" s="6" t="inlineStr">
        <is>
          <t>Part No.</t>
        </is>
      </c>
      <c r="C66" s="6" t="inlineStr">
        <is>
          <t>Description</t>
        </is>
      </c>
      <c r="D66" s="6" t="inlineStr">
        <is>
          <t>Material</t>
        </is>
      </c>
      <c r="E66" s="6" t="inlineStr">
        <is>
          <t>Mass (kg)</t>
        </is>
      </c>
      <c r="F66" s="6" t="inlineStr">
        <is>
          <t>Qty</t>
        </is>
      </c>
    </row>
    <row r="67">
      <c r="A67" s="6" t="inlineStr">
        <is>
          <t>1</t>
        </is>
      </c>
      <c r="B67" s="6" t="inlineStr">
        <is>
          <t>SAL534463-P1</t>
        </is>
      </c>
      <c r="C67" s="6" t="inlineStr">
        <is>
          <t>Frame Assembly (Frame Module FR500)</t>
        </is>
      </c>
      <c r="D67" s="6" t="inlineStr">
        <is>
          <t>MS TZN</t>
        </is>
      </c>
      <c r="E67" s="6" t="n">
        <v>205.4</v>
      </c>
      <c r="F67" s="6" t="n">
        <v>1</v>
      </c>
    </row>
    <row r="68">
      <c r="A68" s="6" t="inlineStr">
        <is>
          <t>2</t>
        </is>
      </c>
      <c r="B68" s="6" t="inlineStr">
        <is>
          <t>PDWB062-S</t>
        </is>
      </c>
      <c r="C68" s="6" t="inlineStr">
        <is>
          <t>Bearing Assembly FR500-S DDE</t>
        </is>
      </c>
      <c r="D68" s="6" t="inlineStr">
        <is>
          <t>Steel</t>
        </is>
      </c>
      <c r="E68" s="6" t="n">
        <v>145.9</v>
      </c>
      <c r="F68" s="6" t="n">
        <v>1</v>
      </c>
    </row>
    <row r="69">
      <c r="A69" s="6" t="inlineStr">
        <is>
          <t>3</t>
        </is>
      </c>
      <c r="B69" s="6" t="inlineStr">
        <is>
          <t>SAL532662-W1</t>
        </is>
      </c>
      <c r="C69" s="6" t="inlineStr">
        <is>
          <t>Casing Module HM200 C5/W9 GPS800</t>
        </is>
      </c>
      <c r="D69" s="6" t="inlineStr">
        <is>
          <t>A532-IIIA + NBR</t>
        </is>
      </c>
      <c r="E69" s="6" t="n">
        <v>375.1</v>
      </c>
      <c r="F69" s="6" t="n">
        <v>1</v>
      </c>
    </row>
    <row r="70">
      <c r="A70" s="6" t="inlineStr">
        <is>
          <t>3.1</t>
        </is>
      </c>
      <c r="B70" s="6" t="inlineStr">
        <is>
          <t>PDCH2034</t>
        </is>
      </c>
      <c r="C70" s="6" t="inlineStr">
        <is>
          <t>Case HM200 GPS800</t>
        </is>
      </c>
      <c r="D70" s="6" t="inlineStr">
        <is>
          <t>A532-IIIA</t>
        </is>
      </c>
      <c r="E70" s="6" t="n">
        <v>321.2</v>
      </c>
      <c r="F70" s="6" t="n">
        <v>1</v>
      </c>
    </row>
    <row r="71">
      <c r="A71" s="6" t="inlineStr">
        <is>
          <t>3.2</t>
        </is>
      </c>
      <c r="B71" s="6" t="inlineStr">
        <is>
          <t>PDCH2021</t>
        </is>
      </c>
      <c r="C71" s="6" t="inlineStr">
        <is>
          <t>Back Liner FR500 GPS800</t>
        </is>
      </c>
      <c r="D71" s="6" t="inlineStr">
        <is>
          <t>A532-IIIA</t>
        </is>
      </c>
      <c r="E71" s="6" t="n">
        <v>53.9</v>
      </c>
      <c r="F71" s="6" t="n">
        <v>1</v>
      </c>
    </row>
    <row r="72">
      <c r="A72" s="6" t="inlineStr">
        <is>
          <t>3.3</t>
        </is>
      </c>
      <c r="B72" s="6" t="inlineStr">
        <is>
          <t>SA959120</t>
        </is>
      </c>
      <c r="C72" s="6" t="inlineStr">
        <is>
          <t>O-Ring 350x5 NBR</t>
        </is>
      </c>
      <c r="D72" s="6" t="inlineStr">
        <is>
          <t>NBR</t>
        </is>
      </c>
      <c r="E72" s="6" t="n">
        <v>0</v>
      </c>
      <c r="F72" s="6" t="n">
        <v>1</v>
      </c>
    </row>
    <row r="73">
      <c r="A73" s="6" t="inlineStr">
        <is>
          <t>4</t>
        </is>
      </c>
      <c r="B73" s="6" t="inlineStr">
        <is>
          <t>SAL535831-P1</t>
        </is>
      </c>
      <c r="C73" s="6" t="inlineStr">
        <is>
          <t>Case Shim Module FR500-S PVC</t>
        </is>
      </c>
      <c r="D73" s="6" t="inlineStr">
        <is>
          <t>PVC-U</t>
        </is>
      </c>
      <c r="E73" s="6" t="n">
        <v>0.2</v>
      </c>
      <c r="F73" s="6" t="n">
        <v>0</v>
      </c>
    </row>
    <row r="74">
      <c r="A74" s="6" t="inlineStr">
        <is>
          <t>5</t>
        </is>
      </c>
      <c r="B74" s="6" t="inlineStr">
        <is>
          <t>PDCH2019</t>
        </is>
      </c>
      <c r="C74" s="6" t="inlineStr">
        <is>
          <t>Pump Impeller HM200 C5 GPS800</t>
        </is>
      </c>
      <c r="D74" s="6" t="inlineStr">
        <is>
          <t>A532-IIIA</t>
        </is>
      </c>
      <c r="E74" s="6" t="n">
        <v>130.2</v>
      </c>
      <c r="F74" s="6" t="n">
        <v>1</v>
      </c>
    </row>
    <row r="75">
      <c r="A75" s="6" t="inlineStr">
        <is>
          <t>5.1</t>
        </is>
      </c>
      <c r="B75" s="6" t="inlineStr">
        <is>
          <t>PDCH2019-01</t>
        </is>
      </c>
      <c r="C75" s="6" t="inlineStr">
        <is>
          <t>Billet Impeller HM200 C5 GPS800</t>
        </is>
      </c>
      <c r="D75" s="6" t="inlineStr">
        <is>
          <t>A532-IIIA</t>
        </is>
      </c>
      <c r="E75" s="6" t="n">
        <v>130.7</v>
      </c>
      <c r="F75" s="6" t="n">
        <v>1</v>
      </c>
    </row>
    <row r="76">
      <c r="A76" s="6" t="inlineStr">
        <is>
          <t>6</t>
        </is>
      </c>
      <c r="B76" s="6" t="inlineStr">
        <is>
          <t>AX03-900016694</t>
        </is>
      </c>
      <c r="C76" s="6" t="inlineStr">
        <is>
          <t>Mechanical Seal Single FR500 with Adaptor</t>
        </is>
      </c>
      <c r="D76" s="6" t="inlineStr">
        <is>
          <t>Various</t>
        </is>
      </c>
      <c r="E76" s="6" t="n">
        <v>34.9</v>
      </c>
      <c r="F76" s="6" t="n">
        <v>1</v>
      </c>
    </row>
    <row r="77">
      <c r="A77" s="6" t="inlineStr">
        <is>
          <t>7</t>
        </is>
      </c>
      <c r="B77" s="6" t="inlineStr">
        <is>
          <t>PDCH5050</t>
        </is>
      </c>
      <c r="C77" s="6" t="inlineStr">
        <is>
          <t>Shaft Sleeve FR500</t>
        </is>
      </c>
      <c r="D77" s="6" t="inlineStr">
        <is>
          <t>SS316 1.4436</t>
        </is>
      </c>
      <c r="E77" s="6" t="n">
        <v>4.4</v>
      </c>
      <c r="F77" s="6" t="n">
        <v>1</v>
      </c>
    </row>
    <row r="78">
      <c r="A78" s="6" t="inlineStr">
        <is>
          <t>8</t>
        </is>
      </c>
      <c r="B78" s="6" t="inlineStr">
        <is>
          <t>SA953201</t>
        </is>
      </c>
      <c r="C78" s="6" t="inlineStr">
        <is>
          <t>O-Ring SMS1586-99.50x3.00-NBR70</t>
        </is>
      </c>
      <c r="D78" s="6" t="inlineStr">
        <is>
          <t>NBR</t>
        </is>
      </c>
      <c r="E78" s="6" t="n">
        <v>0</v>
      </c>
      <c r="F78" s="6" t="n">
        <v>2</v>
      </c>
    </row>
    <row r="79">
      <c r="A79" s="6" t="inlineStr">
        <is>
          <t>9</t>
        </is>
      </c>
      <c r="B79" s="6" t="inlineStr">
        <is>
          <t>ZX90010660</t>
        </is>
      </c>
      <c r="C79" s="6" t="inlineStr">
        <is>
          <t>Mechanical Seal Sticker</t>
        </is>
      </c>
      <c r="D79" s="6" t="inlineStr">
        <is>
          <t>-</t>
        </is>
      </c>
      <c r="E79" s="6" t="n">
        <v>0</v>
      </c>
      <c r="F79" s="6" t="n">
        <v>1</v>
      </c>
    </row>
    <row r="80">
      <c r="A80" s="6" t="inlineStr">
        <is>
          <t>10</t>
        </is>
      </c>
      <c r="B80" s="6" t="inlineStr">
        <is>
          <t>SAL530154-M1</t>
        </is>
      </c>
      <c r="C80" s="6" t="inlineStr">
        <is>
          <t>Gland Guard Kit FR500</t>
        </is>
      </c>
      <c r="D80" s="6" t="inlineStr">
        <is>
          <t>Steel</t>
        </is>
      </c>
      <c r="E80" s="6" t="n">
        <v>1.4</v>
      </c>
      <c r="F80" s="6" t="n">
        <v>1</v>
      </c>
    </row>
    <row r="81">
      <c r="A81" s="6" t="inlineStr">
        <is>
          <t>11</t>
        </is>
      </c>
      <c r="B81" s="6" t="inlineStr">
        <is>
          <t>SAL535225-W1</t>
        </is>
      </c>
      <c r="C81" s="6" t="inlineStr">
        <is>
          <t>Wet End Fasteners Assembly HM200</t>
        </is>
      </c>
      <c r="D81" s="6" t="inlineStr">
        <is>
          <t>Steel TZN</t>
        </is>
      </c>
      <c r="E81" s="6" t="n">
        <v>8.300000000000001</v>
      </c>
      <c r="F81" s="6" t="n">
        <v>1</v>
      </c>
    </row>
    <row r="82">
      <c r="A82" s="6" t="inlineStr">
        <is>
          <t>12</t>
        </is>
      </c>
      <c r="B82" s="6" t="inlineStr">
        <is>
          <t>504079-M1</t>
        </is>
      </c>
      <c r="C82" s="6" t="inlineStr">
        <is>
          <t>Flange Assembly NPS 8" ANSI 300LB</t>
        </is>
      </c>
      <c r="D82" s="6" t="inlineStr">
        <is>
          <t>Carbon Steel 1.0045</t>
        </is>
      </c>
      <c r="E82" s="6" t="n">
        <v>27.3</v>
      </c>
      <c r="F82" s="6" t="n">
        <v>1</v>
      </c>
    </row>
    <row r="83">
      <c r="A83" s="6" t="inlineStr">
        <is>
          <t>13</t>
        </is>
      </c>
      <c r="B83" s="6" t="inlineStr">
        <is>
          <t>PD731032</t>
        </is>
      </c>
      <c r="C83" s="6" t="inlineStr">
        <is>
          <t>Gasket Inlet/Outlet NR 70°SH NRB</t>
        </is>
      </c>
      <c r="D83" s="6" t="inlineStr">
        <is>
          <t>NBR</t>
        </is>
      </c>
      <c r="E83" s="6" t="n">
        <v>0.1</v>
      </c>
      <c r="F83" s="6" t="n">
        <v>1</v>
      </c>
    </row>
    <row r="84">
      <c r="A84" s="6" t="inlineStr">
        <is>
          <t>14</t>
        </is>
      </c>
      <c r="B84" s="6" t="inlineStr">
        <is>
          <t>500680-M1</t>
        </is>
      </c>
      <c r="C84" s="6" t="inlineStr">
        <is>
          <t>Flange Assembly NPS 6"/150 ANSI 300</t>
        </is>
      </c>
      <c r="D84" s="6" t="inlineStr">
        <is>
          <t>Carbon Steel 1.0045</t>
        </is>
      </c>
      <c r="E84" s="6" t="n">
        <v>11.4</v>
      </c>
      <c r="F84" s="6" t="n">
        <v>1</v>
      </c>
    </row>
    <row r="85">
      <c r="A85" s="6" t="inlineStr">
        <is>
          <t>15</t>
        </is>
      </c>
      <c r="B85" s="6" t="inlineStr">
        <is>
          <t>PD701032</t>
        </is>
      </c>
      <c r="C85" s="6" t="inlineStr">
        <is>
          <t>Gasket Inlet/Outlet NR 70°SH NRB</t>
        </is>
      </c>
      <c r="D85" s="6" t="inlineStr">
        <is>
          <t>NBR</t>
        </is>
      </c>
      <c r="E85" s="6" t="n">
        <v>0.1</v>
      </c>
      <c r="F85" s="6" t="n">
        <v>1</v>
      </c>
    </row>
    <row r="86">
      <c r="A86" s="6" t="inlineStr">
        <is>
          <t>16</t>
        </is>
      </c>
      <c r="B86" s="6" t="inlineStr">
        <is>
          <t>500125-S1-IN</t>
        </is>
      </c>
      <c r="C86" s="6" t="inlineStr">
        <is>
          <t>Sign Kit Right Rotating Pump FR250</t>
        </is>
      </c>
      <c r="D86" s="6" t="inlineStr">
        <is>
          <t>-</t>
        </is>
      </c>
      <c r="E86" s="6" t="n">
        <v>0</v>
      </c>
      <c r="F86" s="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:M1"/>
    </sheetView>
  </sheetViews>
  <sheetFormatPr baseColWidth="8" defaultRowHeight="15"/>
  <cols>
    <col width="28" customWidth="1" style="64" min="1" max="1"/>
    <col width="70" customWidth="1" style="64" min="2" max="2"/>
    <col width="12" customWidth="1" style="64" min="3" max="13"/>
  </cols>
  <sheetData>
    <row r="1" ht="24.95" customHeight="1" s="64">
      <c r="A1" s="31" t="inlineStr">
        <is>
          <t>DISSECTION SUMMARY — FLOWSERVE 300-LNN-600 PRODUCT LIQUOR PUMP</t>
        </is>
      </c>
    </row>
    <row r="2">
      <c r="A2" s="32" t="inlineStr">
        <is>
          <t>Project: NALCO 1.0 MTPA Alumina Refinery Stream-5 | Doc: OG05Z-EQM-508-TB-0001 Rev 1 / MS2425801_001-68132-01 Rev 3 | LSTK: Zetwerk | Tech Partner: Metso Outotec</t>
        </is>
      </c>
    </row>
    <row r="4">
      <c r="A4" s="30" t="inlineStr">
        <is>
          <t>PUMP IDENTITY</t>
        </is>
      </c>
    </row>
    <row r="5">
      <c r="A5" s="56" t="inlineStr">
        <is>
          <t>Pump Model</t>
        </is>
      </c>
      <c r="B5" s="57" t="inlineStr">
        <is>
          <t>300-LNN-600</t>
        </is>
      </c>
    </row>
    <row r="6">
      <c r="A6" s="56" t="inlineStr">
        <is>
          <t>Manufacturer</t>
        </is>
      </c>
      <c r="B6" s="57" t="inlineStr">
        <is>
          <t>Flowserve Corporation (Flowtech Engineers - Authorized Agent)</t>
        </is>
      </c>
    </row>
    <row r="7">
      <c r="A7" s="56" t="inlineStr">
        <is>
          <t>Service</t>
        </is>
      </c>
      <c r="B7" s="57" t="inlineStr">
        <is>
          <t>Product Liquor Pump (Caustic Liquor — Alumina Process)</t>
        </is>
      </c>
    </row>
    <row r="8">
      <c r="A8" s="56" t="inlineStr">
        <is>
          <t>Tag Numbers</t>
        </is>
      </c>
      <c r="B8" s="57" t="inlineStr">
        <is>
          <t>08PU-J5802A/B &amp; 08PU-K5802A/B</t>
        </is>
      </c>
    </row>
    <row r="9">
      <c r="A9" s="56" t="inlineStr">
        <is>
          <t>Quantity</t>
        </is>
      </c>
      <c r="B9" s="57" t="inlineStr">
        <is>
          <t>4 Nos. (2 each for Evaporation Units J &amp; K)</t>
        </is>
      </c>
    </row>
    <row r="10">
      <c r="A10" s="56" t="inlineStr">
        <is>
          <t>Sales Order</t>
        </is>
      </c>
      <c r="B10" s="57" t="inlineStr">
        <is>
          <t>MS2425801</t>
        </is>
      </c>
    </row>
    <row r="11">
      <c r="A11" s="56" t="inlineStr">
        <is>
          <t>Customer PO</t>
        </is>
      </c>
      <c r="B11" s="57" t="inlineStr">
        <is>
          <t>PO-ZMBPL-FSG-RP-2024-25-123 &amp; 29-OCT-24</t>
        </is>
      </c>
    </row>
    <row r="12">
      <c r="A12" s="56" t="inlineStr">
        <is>
          <t>Plant Location</t>
        </is>
      </c>
      <c r="B12" s="57" t="inlineStr">
        <is>
          <t>NALCO, Damanjodi, Odisha | Elevation: 900m ASL | Outdoor</t>
        </is>
      </c>
    </row>
    <row r="13">
      <c r="A13" s="56" t="inlineStr">
        <is>
          <t>Type</t>
        </is>
      </c>
      <c r="B13" s="57" t="inlineStr">
        <is>
          <t>Horizontal, Single Stage, Between-Bearings, Horizontally Split Casing</t>
        </is>
      </c>
    </row>
    <row r="14">
      <c r="A14" s="56" t="inlineStr">
        <is>
          <t>Standard</t>
        </is>
      </c>
      <c r="B14" s="57" t="inlineStr">
        <is>
          <t>API 610</t>
        </is>
      </c>
    </row>
    <row r="15">
      <c r="A15" s="56" t="inlineStr">
        <is>
          <t>Direction</t>
        </is>
      </c>
      <c r="B15" s="57" t="inlineStr">
        <is>
          <t>CCW viewed from NDE</t>
        </is>
      </c>
    </row>
    <row r="16">
      <c r="A16" s="56" t="inlineStr">
        <is>
          <t>Serial Numbers</t>
        </is>
      </c>
      <c r="B16" s="57" t="inlineStr">
        <is>
          <t>08PU-J5802A: 2324002 | 08PU-J5802B: 2324003 | 08PU-K5802A: 2324004 | 08PU-K5802B: 2324005</t>
        </is>
      </c>
    </row>
    <row r="18">
      <c r="A18" s="30" t="inlineStr">
        <is>
          <t>PUMP PERFORMANCE (NAMEPLATE)</t>
        </is>
      </c>
    </row>
    <row r="19">
      <c r="A19" s="20" t="inlineStr">
        <is>
          <t>Parameter</t>
        </is>
      </c>
      <c r="B19" s="20" t="inlineStr">
        <is>
          <t>Value</t>
        </is>
      </c>
      <c r="C19" s="20" t="n"/>
      <c r="D19" s="20" t="inlineStr">
        <is>
          <t>Parameter</t>
        </is>
      </c>
      <c r="E19" s="20" t="inlineStr">
        <is>
          <t>Value</t>
        </is>
      </c>
    </row>
    <row r="20">
      <c r="A20" s="21" t="inlineStr">
        <is>
          <t>Flow (Q)</t>
        </is>
      </c>
      <c r="B20" s="21" t="inlineStr">
        <is>
          <t>961 m³/h</t>
        </is>
      </c>
      <c r="C20" s="21" t="n"/>
      <c r="D20" s="21" t="inlineStr">
        <is>
          <t>Head (H)</t>
        </is>
      </c>
      <c r="E20" s="21" t="inlineStr">
        <is>
          <t>86 m</t>
        </is>
      </c>
    </row>
    <row r="21">
      <c r="A21" s="21" t="inlineStr">
        <is>
          <t>Speed Range</t>
        </is>
      </c>
      <c r="B21" s="21" t="inlineStr">
        <is>
          <t>1143 to 1233 rpm (VFD)</t>
        </is>
      </c>
      <c r="C21" s="21" t="n"/>
      <c r="D21" s="21" t="inlineStr">
        <is>
          <t>Test Pressure</t>
        </is>
      </c>
      <c r="E21" s="21" t="inlineStr">
        <is>
          <t>24 barg</t>
        </is>
      </c>
    </row>
    <row r="22" ht="25.5" customHeight="1" s="64">
      <c r="A22" s="21" t="inlineStr">
        <is>
          <t>Impeller</t>
        </is>
      </c>
      <c r="B22" s="21" t="inlineStr">
        <is>
          <t>Trimmed per performance</t>
        </is>
      </c>
      <c r="C22" s="21" t="n"/>
      <c r="D22" s="21" t="inlineStr">
        <is>
          <t>RPM (Nameplate)</t>
        </is>
      </c>
      <c r="E22" s="21" t="inlineStr">
        <is>
          <t>51.5 rpm [VFD]</t>
        </is>
      </c>
    </row>
    <row r="23" ht="25.5" customHeight="1" s="64">
      <c r="A23" s="21" t="inlineStr">
        <is>
          <t>Suction Nozzle</t>
        </is>
      </c>
      <c r="B23" s="21" t="inlineStr">
        <is>
          <t>14" PN16 FF (350mm)</t>
        </is>
      </c>
      <c r="C23" s="21" t="n"/>
      <c r="D23" s="21" t="inlineStr">
        <is>
          <t>Discharge Nozzle</t>
        </is>
      </c>
      <c r="E23" s="21" t="inlineStr">
        <is>
          <t>12" PN16 FF (300mm)</t>
        </is>
      </c>
    </row>
    <row r="24" ht="25.5" customHeight="1" s="64">
      <c r="A24" s="21" t="inlineStr">
        <is>
          <t>Min Straight Length</t>
        </is>
      </c>
      <c r="B24" s="21" t="inlineStr">
        <is>
          <t>5D suction, no reducer/elbows</t>
        </is>
      </c>
      <c r="C24" s="21" t="n"/>
      <c r="D24" s="21" t="inlineStr">
        <is>
          <t>Noise Limit</t>
        </is>
      </c>
      <c r="E24" s="21" t="inlineStr">
        <is>
          <t>85 dBA combined</t>
        </is>
      </c>
    </row>
    <row r="26">
      <c r="A26" s="30" t="inlineStr">
        <is>
          <t>PACKAGE WEIGHTS</t>
        </is>
      </c>
    </row>
    <row r="27">
      <c r="A27" s="20" t="inlineStr">
        <is>
          <t>Item</t>
        </is>
      </c>
      <c r="B27" s="20" t="inlineStr">
        <is>
          <t>Weight (kg)</t>
        </is>
      </c>
    </row>
    <row r="28">
      <c r="A28" s="57" t="inlineStr">
        <is>
          <t>Pump (bare)</t>
        </is>
      </c>
      <c r="B28" s="57" t="n">
        <v>1160</v>
      </c>
    </row>
    <row r="29">
      <c r="A29" s="57" t="inlineStr">
        <is>
          <t>Rotor Assembly</t>
        </is>
      </c>
      <c r="B29" s="57" t="n">
        <v>173</v>
      </c>
    </row>
    <row r="30">
      <c r="A30" s="57" t="inlineStr">
        <is>
          <t>Top Casing</t>
        </is>
      </c>
      <c r="B30" s="57" t="n">
        <v>272</v>
      </c>
    </row>
    <row r="31">
      <c r="A31" s="57" t="inlineStr">
        <is>
          <t>Motor (CGL NG450)</t>
        </is>
      </c>
      <c r="B31" s="57" t="n">
        <v>5300</v>
      </c>
    </row>
    <row r="32">
      <c r="A32" s="57" t="inlineStr">
        <is>
          <t>Baseplate (IS2062)</t>
        </is>
      </c>
      <c r="B32" s="57" t="n">
        <v>3250</v>
      </c>
    </row>
    <row r="33">
      <c r="A33" s="57" t="inlineStr">
        <is>
          <t>Coupling (Rathi Spacer Tyre)</t>
        </is>
      </c>
      <c r="B33" s="57" t="n">
        <v>50</v>
      </c>
    </row>
    <row r="34">
      <c r="A34" s="57" t="inlineStr">
        <is>
          <t>Accessories</t>
        </is>
      </c>
      <c r="B34" s="57" t="n">
        <v>50</v>
      </c>
    </row>
    <row r="35">
      <c r="A35" s="57" t="inlineStr">
        <is>
          <t>Acoustic Enclosure (ARK)</t>
        </is>
      </c>
      <c r="B35" s="57" t="n">
        <v>2350</v>
      </c>
    </row>
    <row r="36">
      <c r="A36" s="56" t="inlineStr">
        <is>
          <t>TOTAL PACKAGE</t>
        </is>
      </c>
      <c r="B36" s="56" t="n">
        <v>12160</v>
      </c>
    </row>
    <row r="38">
      <c r="A38" s="30" t="inlineStr">
        <is>
          <t>MOTOR DATA (CGL)</t>
        </is>
      </c>
    </row>
    <row r="39">
      <c r="A39" s="56" t="inlineStr">
        <is>
          <t>Make</t>
        </is>
      </c>
      <c r="B39" s="57" t="inlineStr">
        <is>
          <t>Crompton Greaves Ltd (CGL), Bhopal</t>
        </is>
      </c>
    </row>
    <row r="40">
      <c r="A40" s="56" t="inlineStr">
        <is>
          <t>Work Order No.</t>
        </is>
      </c>
      <c r="B40" s="57" t="inlineStr">
        <is>
          <t>2241805</t>
        </is>
      </c>
    </row>
    <row r="41">
      <c r="A41" s="56" t="inlineStr">
        <is>
          <t>Rating</t>
        </is>
      </c>
      <c r="B41" s="57" t="inlineStr">
        <is>
          <t>550 kW</t>
        </is>
      </c>
    </row>
    <row r="42">
      <c r="A42" s="56" t="inlineStr">
        <is>
          <t>Voltage</t>
        </is>
      </c>
      <c r="B42" s="57" t="inlineStr">
        <is>
          <t>690 V / 3 Phase / 50 Hz</t>
        </is>
      </c>
    </row>
    <row r="43">
      <c r="A43" s="56" t="inlineStr">
        <is>
          <t>Poles</t>
        </is>
      </c>
      <c r="B43" s="57" t="inlineStr">
        <is>
          <t>4 Pole</t>
        </is>
      </c>
    </row>
    <row r="44">
      <c r="A44" s="56" t="inlineStr">
        <is>
          <t>Frame Size</t>
        </is>
      </c>
      <c r="B44" s="57" t="inlineStr">
        <is>
          <t>NG450</t>
        </is>
      </c>
    </row>
    <row r="45">
      <c r="A45" s="56" t="inlineStr">
        <is>
          <t>Cooling</t>
        </is>
      </c>
      <c r="B45" s="57" t="inlineStr">
        <is>
          <t>IC411</t>
        </is>
      </c>
    </row>
    <row r="46">
      <c r="A46" s="56" t="inlineStr">
        <is>
          <t>Speed Range</t>
        </is>
      </c>
      <c r="B46" s="57" t="inlineStr">
        <is>
          <t>1143 to 1233 rpm (VFD driven)</t>
        </is>
      </c>
    </row>
    <row r="47">
      <c r="A47" s="56" t="inlineStr">
        <is>
          <t>Drive Method</t>
        </is>
      </c>
      <c r="B47" s="57" t="inlineStr">
        <is>
          <t>VFD (VVVFD)</t>
        </is>
      </c>
    </row>
    <row r="48">
      <c r="A48" s="56" t="inlineStr">
        <is>
          <t>Locked Rotor Current</t>
        </is>
      </c>
      <c r="B48" s="57" t="inlineStr">
        <is>
          <t>600% FLC at 100% V</t>
        </is>
      </c>
    </row>
    <row r="49">
      <c r="A49" s="56" t="inlineStr">
        <is>
          <t>Starting Time @100%V</t>
        </is>
      </c>
      <c r="B49" s="57" t="inlineStr">
        <is>
          <t>3 sec</t>
        </is>
      </c>
    </row>
    <row r="50">
      <c r="A50" s="56" t="inlineStr">
        <is>
          <t>Starting Time @80%V</t>
        </is>
      </c>
      <c r="B50" s="57" t="inlineStr">
        <is>
          <t>4 sec</t>
        </is>
      </c>
    </row>
    <row r="51">
      <c r="A51" s="56" t="inlineStr">
        <is>
          <t>Starting Time @110%V</t>
        </is>
      </c>
      <c r="B51" s="57" t="inlineStr">
        <is>
          <t>2 sec</t>
        </is>
      </c>
    </row>
    <row r="52">
      <c r="A52" s="56" t="inlineStr">
        <is>
          <t>Efficiency @60% load</t>
        </is>
      </c>
      <c r="B52" s="57" t="inlineStr">
        <is>
          <t>~94%</t>
        </is>
      </c>
    </row>
    <row r="53">
      <c r="A53" s="56" t="inlineStr">
        <is>
          <t>Efficiency @80% load</t>
        </is>
      </c>
      <c r="B53" s="57" t="inlineStr">
        <is>
          <t>~95%</t>
        </is>
      </c>
    </row>
    <row r="54">
      <c r="A54" s="56" t="inlineStr">
        <is>
          <t>Efficiency @100% load</t>
        </is>
      </c>
      <c r="B54" s="57" t="inlineStr">
        <is>
          <t>~95.5%</t>
        </is>
      </c>
    </row>
    <row r="55">
      <c r="A55" s="56" t="inlineStr">
        <is>
          <t>Power Factor @100% load</t>
        </is>
      </c>
      <c r="B55" s="57" t="inlineStr">
        <is>
          <t>~0.87</t>
        </is>
      </c>
    </row>
    <row r="56">
      <c r="A56" s="56" t="inlineStr">
        <is>
          <t>Thermal Withstand (Hot)</t>
        </is>
      </c>
      <c r="B56" s="57" t="inlineStr">
        <is>
          <t>20 sec at 100% RV</t>
        </is>
      </c>
    </row>
    <row r="57">
      <c r="A57" s="56" t="inlineStr">
        <is>
          <t>Thermal Withstand (Cold)</t>
        </is>
      </c>
      <c r="B57" s="57" t="inlineStr">
        <is>
          <t>25 sec at 100% RV</t>
        </is>
      </c>
    </row>
    <row r="58">
      <c r="A58" s="56" t="inlineStr">
        <is>
          <t>Derating Applied</t>
        </is>
      </c>
      <c r="B58" s="57" t="inlineStr">
        <is>
          <t>10% for 50°C ambient + 900m altitude</t>
        </is>
      </c>
    </row>
    <row r="59">
      <c r="A59" s="56" t="inlineStr">
        <is>
          <t>Negative Sequence</t>
        </is>
      </c>
      <c r="B59" s="57" t="inlineStr">
        <is>
          <t>(I2/In)² × t = 15 (continuous withstand)</t>
        </is>
      </c>
    </row>
    <row r="60">
      <c r="A60" s="56" t="inlineStr">
        <is>
          <t>DOL Curves Applicability</t>
        </is>
      </c>
      <c r="B60" s="57" t="inlineStr">
        <is>
          <t>DOL curves NOT applicable — VFD start</t>
        </is>
      </c>
    </row>
    <row r="62">
      <c r="A62" s="30" t="inlineStr">
        <is>
          <t>MECHANICAL SEAL &amp; COUPLING</t>
        </is>
      </c>
    </row>
    <row r="63">
      <c r="A63" s="56" t="inlineStr">
        <is>
          <t>Seal Make</t>
        </is>
      </c>
      <c r="B63" s="57" t="inlineStr">
        <is>
          <t>Flowserve Sanmar</t>
        </is>
      </c>
    </row>
    <row r="64">
      <c r="A64" s="56" t="inlineStr">
        <is>
          <t>Seal Plan</t>
        </is>
      </c>
      <c r="B64" s="57" t="inlineStr">
        <is>
          <t>Plan 11 + Plan 62</t>
        </is>
      </c>
    </row>
    <row r="65">
      <c r="A65" s="56" t="inlineStr">
        <is>
          <t>Plan 62 Flush</t>
        </is>
      </c>
      <c r="B65" s="57" t="inlineStr">
        <is>
          <t>Water: 0.5 to 1.0 LPM | Pressure: 1 kg/cm²</t>
        </is>
      </c>
    </row>
    <row r="66">
      <c r="A66" s="56" t="inlineStr">
        <is>
          <t>Plan 11 Piping MOC</t>
        </is>
      </c>
      <c r="B66" s="57" t="inlineStr">
        <is>
          <t>A106 Gr B (CS pipe), A312 Gr 316L (SS pipe/nipple), A182 F316L (SS flange), A240 Gr 316L (orifice plate)</t>
        </is>
      </c>
    </row>
    <row r="67">
      <c r="A67" s="56" t="inlineStr">
        <is>
          <t>Coupling Make</t>
        </is>
      </c>
      <c r="B67" s="57" t="inlineStr">
        <is>
          <t>Rathi Couplings</t>
        </is>
      </c>
    </row>
    <row r="68">
      <c r="A68" s="56" t="inlineStr">
        <is>
          <t>Coupling Type</t>
        </is>
      </c>
      <c r="B68" s="57" t="inlineStr">
        <is>
          <t>Spacer Tyre</t>
        </is>
      </c>
    </row>
    <row r="69">
      <c r="A69" s="56" t="inlineStr">
        <is>
          <t>DBSE</t>
        </is>
      </c>
      <c r="B69" s="57" t="inlineStr">
        <is>
          <t>250 mm</t>
        </is>
      </c>
    </row>
    <row r="70">
      <c r="A70" s="56" t="inlineStr">
        <is>
          <t>Coupling Weight</t>
        </is>
      </c>
      <c r="B70" s="57" t="inlineStr">
        <is>
          <t>50 kg</t>
        </is>
      </c>
    </row>
    <row r="71">
      <c r="A71" s="56" t="inlineStr">
        <is>
          <t>Coupling Guard</t>
        </is>
      </c>
      <c r="B71" s="57" t="inlineStr">
        <is>
          <t>Non-sparking Aluminum (Flowserve scope)</t>
        </is>
      </c>
    </row>
    <row r="73">
      <c r="A73" s="30" t="inlineStr">
        <is>
          <t>NOZZLE CONNECTION DETAILS</t>
        </is>
      </c>
    </row>
    <row r="74">
      <c r="A74" s="20" t="inlineStr">
        <is>
          <t>Mark</t>
        </is>
      </c>
      <c r="B74" s="20" t="inlineStr">
        <is>
          <t>Description</t>
        </is>
      </c>
      <c r="C74" s="20" t="inlineStr">
        <is>
          <t>Size</t>
        </is>
      </c>
      <c r="D74" s="20" t="inlineStr">
        <is>
          <t>Class</t>
        </is>
      </c>
      <c r="E74" s="20" t="inlineStr">
        <is>
          <t>Flange Type</t>
        </is>
      </c>
      <c r="F74" s="20" t="inlineStr">
        <is>
          <t>Qty/Pump</t>
        </is>
      </c>
      <c r="G74" s="20" t="inlineStr">
        <is>
          <t>Notes</t>
        </is>
      </c>
    </row>
    <row r="75">
      <c r="A75" s="57" t="inlineStr">
        <is>
          <t>Ns</t>
        </is>
      </c>
      <c r="B75" s="57" t="inlineStr">
        <is>
          <t>Suction Flange</t>
        </is>
      </c>
      <c r="C75" s="57" t="inlineStr">
        <is>
          <t>14"</t>
        </is>
      </c>
      <c r="D75" s="57" t="inlineStr">
        <is>
          <t>PN 16</t>
        </is>
      </c>
      <c r="E75" s="57" t="inlineStr">
        <is>
          <t>Flat Face (FF)</t>
        </is>
      </c>
      <c r="F75" s="57" t="n">
        <v>1</v>
      </c>
      <c r="G75" s="57" t="inlineStr">
        <is>
          <t>Counter flange A105, loose by Flowserve</t>
        </is>
      </c>
    </row>
    <row r="76">
      <c r="A76" s="57" t="inlineStr">
        <is>
          <t>Nd</t>
        </is>
      </c>
      <c r="B76" s="57" t="inlineStr">
        <is>
          <t>Discharge Flange</t>
        </is>
      </c>
      <c r="C76" s="57" t="inlineStr">
        <is>
          <t>12"</t>
        </is>
      </c>
      <c r="D76" s="57" t="inlineStr">
        <is>
          <t>PN 16</t>
        </is>
      </c>
      <c r="E76" s="57" t="inlineStr">
        <is>
          <t>Flat Face (FF)</t>
        </is>
      </c>
      <c r="F76" s="57" t="n">
        <v>1</v>
      </c>
      <c r="G76" s="57" t="inlineStr">
        <is>
          <t>Counter flange A105, loose by Flowserve</t>
        </is>
      </c>
    </row>
    <row r="77">
      <c r="A77" s="57" t="inlineStr">
        <is>
          <t>C</t>
        </is>
      </c>
      <c r="B77" s="57" t="inlineStr">
        <is>
          <t>Casing Drain</t>
        </is>
      </c>
      <c r="C77" s="57" t="inlineStr">
        <is>
          <t>1/2"</t>
        </is>
      </c>
      <c r="D77" s="57" t="inlineStr">
        <is>
          <t>NPT</t>
        </is>
      </c>
      <c r="E77" s="57" t="inlineStr">
        <is>
          <t>Plugged</t>
        </is>
      </c>
      <c r="F77" s="57" t="n">
        <v>2</v>
      </c>
      <c r="G77" s="57" t="inlineStr">
        <is>
          <t>Never connect to common header without isolation valve</t>
        </is>
      </c>
    </row>
    <row r="78">
      <c r="A78" s="57" t="inlineStr">
        <is>
          <t>V</t>
        </is>
      </c>
      <c r="B78" s="57" t="inlineStr">
        <is>
          <t>Casing Vent</t>
        </is>
      </c>
      <c r="C78" s="57" t="inlineStr">
        <is>
          <t>1/2"</t>
        </is>
      </c>
      <c r="D78" s="57" t="inlineStr">
        <is>
          <t>NPT</t>
        </is>
      </c>
      <c r="E78" s="57" t="inlineStr">
        <is>
          <t>Plugged</t>
        </is>
      </c>
      <c r="F78" s="57" t="n">
        <v>3</v>
      </c>
      <c r="G78" s="57" t="n"/>
    </row>
    <row r="79">
      <c r="A79" s="57" t="inlineStr">
        <is>
          <t>L1</t>
        </is>
      </c>
      <c r="B79" s="57" t="inlineStr">
        <is>
          <t>Baseplate Drain</t>
        </is>
      </c>
      <c r="C79" s="57" t="inlineStr">
        <is>
          <t>2"</t>
        </is>
      </c>
      <c r="D79" s="57" t="inlineStr">
        <is>
          <t>NPT</t>
        </is>
      </c>
      <c r="E79" s="57" t="inlineStr">
        <is>
          <t>—</t>
        </is>
      </c>
      <c r="F79" s="57" t="n">
        <v>1</v>
      </c>
      <c r="G79" s="57" t="n"/>
    </row>
    <row r="80">
      <c r="A80" s="57" t="inlineStr">
        <is>
          <t>M1</t>
        </is>
      </c>
      <c r="B80" s="57" t="inlineStr">
        <is>
          <t>Bearing Housing Oil Fill/Vent</t>
        </is>
      </c>
      <c r="C80" s="57" t="inlineStr">
        <is>
          <t>3/8"</t>
        </is>
      </c>
      <c r="D80" s="57" t="inlineStr">
        <is>
          <t>NPT</t>
        </is>
      </c>
      <c r="E80" s="57" t="inlineStr">
        <is>
          <t>Plugged</t>
        </is>
      </c>
      <c r="F80" s="57" t="n">
        <v>2</v>
      </c>
      <c r="G80" s="57" t="inlineStr">
        <is>
          <t>Thrust bearing flooded oil lubricated</t>
        </is>
      </c>
    </row>
    <row r="81">
      <c r="A81" s="57" t="inlineStr">
        <is>
          <t>M2</t>
        </is>
      </c>
      <c r="B81" s="57" t="inlineStr">
        <is>
          <t>Bearing Housing Oil Drain</t>
        </is>
      </c>
      <c r="C81" s="57" t="inlineStr">
        <is>
          <t>3/4"</t>
        </is>
      </c>
      <c r="D81" s="57" t="inlineStr">
        <is>
          <t>NPT</t>
        </is>
      </c>
      <c r="E81" s="57" t="inlineStr">
        <is>
          <t>Plugged</t>
        </is>
      </c>
      <c r="F81" s="57" t="n">
        <v>2</v>
      </c>
      <c r="G81" s="57" t="n"/>
    </row>
    <row r="82">
      <c r="A82" s="57" t="inlineStr">
        <is>
          <t>N1</t>
        </is>
      </c>
      <c r="B82" s="57" t="inlineStr">
        <is>
          <t>Casing Plan 11 Connection</t>
        </is>
      </c>
      <c r="C82" s="57" t="inlineStr">
        <is>
          <t>1/2"</t>
        </is>
      </c>
      <c r="D82" s="57" t="inlineStr">
        <is>
          <t>150#</t>
        </is>
      </c>
      <c r="E82" s="57" t="inlineStr">
        <is>
          <t>SWRF</t>
        </is>
      </c>
      <c r="F82" s="57" t="n">
        <v>2</v>
      </c>
      <c r="G82" s="57" t="n"/>
    </row>
    <row r="83">
      <c r="A83" s="57" t="inlineStr">
        <is>
          <t>N2</t>
        </is>
      </c>
      <c r="B83" s="57" t="inlineStr">
        <is>
          <t>Seal Plan 11 Connection</t>
        </is>
      </c>
      <c r="C83" s="57" t="inlineStr">
        <is>
          <t>1/2"</t>
        </is>
      </c>
      <c r="D83" s="57" t="inlineStr">
        <is>
          <t>150#</t>
        </is>
      </c>
      <c r="E83" s="57" t="inlineStr">
        <is>
          <t>SWRF</t>
        </is>
      </c>
      <c r="F83" s="57" t="n">
        <v>2</v>
      </c>
      <c r="G83" s="57" t="n"/>
    </row>
    <row r="84">
      <c r="A84" s="57" t="inlineStr">
        <is>
          <t>N3</t>
        </is>
      </c>
      <c r="B84" s="57" t="inlineStr">
        <is>
          <t>Seal Plan 62 Connection</t>
        </is>
      </c>
      <c r="C84" s="57" t="inlineStr">
        <is>
          <t>1/2"</t>
        </is>
      </c>
      <c r="D84" s="57" t="inlineStr">
        <is>
          <t>NPT</t>
        </is>
      </c>
      <c r="E84" s="57" t="inlineStr">
        <is>
          <t>Plugged</t>
        </is>
      </c>
      <c r="F84" s="57" t="n">
        <v>2</v>
      </c>
      <c r="G84" s="57" t="inlineStr">
        <is>
          <t>Water flush 0.5-1.0 LPM @ 1 kg/cm²</t>
        </is>
      </c>
    </row>
    <row r="85">
      <c r="A85" s="57" t="inlineStr">
        <is>
          <t>N4</t>
        </is>
      </c>
      <c r="B85" s="57" t="inlineStr">
        <is>
          <t>Seal Drain Connection</t>
        </is>
      </c>
      <c r="C85" s="57" t="inlineStr">
        <is>
          <t>1/2"</t>
        </is>
      </c>
      <c r="D85" s="57" t="inlineStr">
        <is>
          <t>NPT</t>
        </is>
      </c>
      <c r="E85" s="57" t="inlineStr">
        <is>
          <t>Plugged</t>
        </is>
      </c>
      <c r="F85" s="57" t="n">
        <v>2</v>
      </c>
      <c r="G85" s="57" t="n"/>
    </row>
    <row r="87">
      <c r="A87" s="30" t="inlineStr">
        <is>
          <t>FOUNDATION &amp; STRUCTURAL</t>
        </is>
      </c>
    </row>
    <row r="88">
      <c r="A88" s="56" t="inlineStr">
        <is>
          <t>Foundation Bolts</t>
        </is>
      </c>
      <c r="B88" s="57" t="inlineStr">
        <is>
          <t>14 Nos. Ø3/4" (Ø25mm holes), Mild Steel HDG, 14 Nos. M20 jacking bolts</t>
        </is>
      </c>
    </row>
    <row r="89">
      <c r="A89" s="56" t="inlineStr">
        <is>
          <t>Baseplate Length</t>
        </is>
      </c>
      <c r="B89" s="57" t="inlineStr">
        <is>
          <t>4800 mm</t>
        </is>
      </c>
    </row>
    <row r="90">
      <c r="A90" s="56" t="inlineStr">
        <is>
          <t>Grout</t>
        </is>
      </c>
      <c r="B90" s="57" t="inlineStr">
        <is>
          <t>Shrinkkomp-30 or Fosroc Conbextra-GP2 (non-shrink high strength)</t>
        </is>
      </c>
    </row>
    <row r="91">
      <c r="A91" s="56" t="inlineStr">
        <is>
          <t>Earthing</t>
        </is>
      </c>
      <c r="B91" s="57" t="inlineStr">
        <is>
          <t>2 Nos. earthing boss (M10 Brass) on diagonally opposite sides of baseplate</t>
        </is>
      </c>
    </row>
    <row r="92">
      <c r="A92" s="56" t="inlineStr">
        <is>
          <t>CoG Pump</t>
        </is>
      </c>
      <c r="B92" s="57" t="inlineStr">
        <is>
          <t>X=600mm, Y=0, Z=1055mm from baseplate CL origin</t>
        </is>
      </c>
    </row>
    <row r="93">
      <c r="A93" s="56" t="inlineStr">
        <is>
          <t>CoG Motor</t>
        </is>
      </c>
      <c r="B93" s="57" t="inlineStr">
        <is>
          <t>X=2750mm, Y=0, Z=1127mm</t>
        </is>
      </c>
    </row>
    <row r="94">
      <c r="A94" s="56" t="inlineStr">
        <is>
          <t>CoG Total</t>
        </is>
      </c>
      <c r="B94" s="57" t="inlineStr">
        <is>
          <t>X=2382.6mm, Y=0, Z=869.5mm</t>
        </is>
      </c>
    </row>
    <row r="95">
      <c r="A95" s="56" t="inlineStr">
        <is>
          <t>Static Load (max bolt)</t>
        </is>
      </c>
      <c r="B95" s="57" t="inlineStr">
        <is>
          <t>2093 kg (bolts 7 &amp; 8 under motor)</t>
        </is>
      </c>
    </row>
    <row r="96">
      <c r="A96" s="56" t="inlineStr">
        <is>
          <t>Dynamic Load (motor bolts)</t>
        </is>
      </c>
      <c r="B96" s="57" t="inlineStr">
        <is>
          <t>±291 kg (bolts 7,8,9,10)</t>
        </is>
      </c>
    </row>
    <row r="97">
      <c r="A97" s="56" t="inlineStr">
        <is>
          <t>Nozzle Load Suction Fx/Fy/Fz</t>
        </is>
      </c>
      <c r="B97" s="57" t="inlineStr">
        <is>
          <t>7120N / 8900N / 5790N</t>
        </is>
      </c>
    </row>
    <row r="98">
      <c r="A98" s="56" t="inlineStr">
        <is>
          <t>Nozzle Moment Mx/My/Mz (Suction)</t>
        </is>
      </c>
      <c r="B98" s="57" t="inlineStr">
        <is>
          <t>6370Nm / 3120Nm / 4750Nm</t>
        </is>
      </c>
    </row>
  </sheetData>
  <mergeCells count="63">
    <mergeCell ref="B70:M70"/>
    <mergeCell ref="B48:M48"/>
    <mergeCell ref="B11:M11"/>
    <mergeCell ref="B42:M42"/>
    <mergeCell ref="B98:M98"/>
    <mergeCell ref="B60:M60"/>
    <mergeCell ref="B67:M67"/>
    <mergeCell ref="A4:M4"/>
    <mergeCell ref="B8:M8"/>
    <mergeCell ref="B14:M14"/>
    <mergeCell ref="A62:M62"/>
    <mergeCell ref="B57:M57"/>
    <mergeCell ref="B88:M88"/>
    <mergeCell ref="B13:M13"/>
    <mergeCell ref="A38:M38"/>
    <mergeCell ref="B44:M44"/>
    <mergeCell ref="B53:M53"/>
    <mergeCell ref="B69:M69"/>
    <mergeCell ref="B10:M10"/>
    <mergeCell ref="B40:M40"/>
    <mergeCell ref="B9:M9"/>
    <mergeCell ref="B92:M92"/>
    <mergeCell ref="B49:M49"/>
    <mergeCell ref="A73:M73"/>
    <mergeCell ref="B65:M65"/>
    <mergeCell ref="B68:M68"/>
    <mergeCell ref="B55:M55"/>
    <mergeCell ref="B6:M6"/>
    <mergeCell ref="B95:M95"/>
    <mergeCell ref="B64:M64"/>
    <mergeCell ref="B15:M15"/>
    <mergeCell ref="A1:M1"/>
    <mergeCell ref="B89:M89"/>
    <mergeCell ref="B5:M5"/>
    <mergeCell ref="B51:M51"/>
    <mergeCell ref="B94:M94"/>
    <mergeCell ref="B45:M45"/>
    <mergeCell ref="B63:M63"/>
    <mergeCell ref="B50:M50"/>
    <mergeCell ref="B41:M41"/>
    <mergeCell ref="B97:M97"/>
    <mergeCell ref="A87:M87"/>
    <mergeCell ref="B91:M91"/>
    <mergeCell ref="B47:M47"/>
    <mergeCell ref="B16:M16"/>
    <mergeCell ref="B54:M54"/>
    <mergeCell ref="B7:M7"/>
    <mergeCell ref="B90:M90"/>
    <mergeCell ref="B59:M59"/>
    <mergeCell ref="B46:M46"/>
    <mergeCell ref="A18:M18"/>
    <mergeCell ref="B71:M71"/>
    <mergeCell ref="B66:M66"/>
    <mergeCell ref="A26:M26"/>
    <mergeCell ref="B93:M93"/>
    <mergeCell ref="B56:M56"/>
    <mergeCell ref="B58:M58"/>
    <mergeCell ref="B96:M96"/>
    <mergeCell ref="B52:M52"/>
    <mergeCell ref="A2:M2"/>
    <mergeCell ref="B43:M43"/>
    <mergeCell ref="B12:M12"/>
    <mergeCell ref="B39:M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9"/>
  <sheetViews>
    <sheetView topLeftCell="A18" workbookViewId="0">
      <selection activeCell="A1" sqref="A1:M1"/>
    </sheetView>
  </sheetViews>
  <sheetFormatPr baseColWidth="8" defaultRowHeight="15"/>
  <cols>
    <col width="28" customWidth="1" style="64" min="1" max="1"/>
    <col width="55" customWidth="1" style="64" min="2" max="2"/>
    <col width="8" customWidth="1" style="64" min="3" max="3"/>
    <col width="28" customWidth="1" style="64" min="4" max="4"/>
    <col width="30" customWidth="1" style="64" min="5" max="5"/>
    <col width="10" customWidth="1" style="64" min="6" max="13"/>
  </cols>
  <sheetData>
    <row r="1" ht="24" customHeight="1" s="64">
      <c r="A1" s="35" t="inlineStr">
        <is>
          <t>DISSECTION SUMMARY — WILO 150-200-GSN 2-STAGE PUMP (TALJHARI)</t>
        </is>
      </c>
    </row>
    <row r="2">
      <c r="A2" s="36" t="inlineStr">
        <is>
          <t>Project: Taljhari &amp; Borio RWS Scheme, DW&amp;S Sahibganj | Doc: Wilo SO 81343152/11 | Customer: Sudhakara Infratech | End Customer: DW&amp;S Div Sahibganj</t>
        </is>
      </c>
    </row>
    <row r="4" ht="18" customHeight="1" s="64">
      <c r="A4" s="34" t="inlineStr">
        <is>
          <t>PUMP IDENTITY</t>
        </is>
      </c>
    </row>
    <row r="5">
      <c r="A5" s="25" t="inlineStr">
        <is>
          <t>Pump Model</t>
        </is>
      </c>
      <c r="B5" s="33" t="inlineStr">
        <is>
          <t>Wilo 150-200-GSN (2-Stage)</t>
        </is>
      </c>
    </row>
    <row r="6">
      <c r="A6" s="25" t="inlineStr">
        <is>
          <t>Manufacturer</t>
        </is>
      </c>
      <c r="B6" s="33" t="inlineStr">
        <is>
          <t>Wilo Mather &amp; Platt Pumps Pvt Ltd, Pune-19</t>
        </is>
      </c>
    </row>
    <row r="7">
      <c r="A7" s="25" t="inlineStr">
        <is>
          <t>Service</t>
        </is>
      </c>
      <c r="B7" s="33" t="inlineStr">
        <is>
          <t>Clear Water Supply to ESR (Taljhari)</t>
        </is>
      </c>
    </row>
    <row r="8">
      <c r="A8" s="25" t="inlineStr">
        <is>
          <t>Wilo Sales Order No.</t>
        </is>
      </c>
      <c r="B8" s="33" t="inlineStr">
        <is>
          <t>81343152/11</t>
        </is>
      </c>
    </row>
    <row r="9">
      <c r="A9" s="25" t="inlineStr">
        <is>
          <t>Quantity</t>
        </is>
      </c>
      <c r="B9" s="33" t="inlineStr">
        <is>
          <t>2 Nos.</t>
        </is>
      </c>
    </row>
    <row r="10">
      <c r="A10" s="25" t="inlineStr">
        <is>
          <t>Type</t>
        </is>
      </c>
      <c r="B10" s="33" t="inlineStr">
        <is>
          <t>Horizontal Split Casing (HSC), 2-Stage, Single Volute, Foot Mount</t>
        </is>
      </c>
    </row>
    <row r="11">
      <c r="A11" s="25" t="inlineStr">
        <is>
          <t>Standard</t>
        </is>
      </c>
      <c r="B11" s="33" t="inlineStr">
        <is>
          <t>IS 6595</t>
        </is>
      </c>
    </row>
    <row r="12">
      <c r="A12" s="25" t="inlineStr">
        <is>
          <t>Drawing / Curve Ref</t>
        </is>
      </c>
      <c r="B12" s="33" t="inlineStr">
        <is>
          <t>GSN150-MC/12-P4-0-1480</t>
        </is>
      </c>
    </row>
    <row r="13">
      <c r="A13" s="25" t="inlineStr">
        <is>
          <t>Rotation</t>
        </is>
      </c>
      <c r="B13" s="33" t="inlineStr">
        <is>
          <t>CCW from impeller end (driving end = CW from DE)</t>
        </is>
      </c>
    </row>
    <row r="14">
      <c r="A14" s="25" t="inlineStr">
        <is>
          <t>Fluid</t>
        </is>
      </c>
      <c r="B14" s="33" t="inlineStr">
        <is>
          <t>Clear Water | SG=1 | Viscosity=1 cps | pH=7 | Temp=30°C</t>
        </is>
      </c>
    </row>
    <row r="15">
      <c r="A15" s="25" t="inlineStr">
        <is>
          <t>Application</t>
        </is>
      </c>
      <c r="B15" s="33" t="inlineStr">
        <is>
          <t>Rural Water Supply — Drinking Water &amp; Sanitation</t>
        </is>
      </c>
    </row>
    <row r="17" ht="18" customHeight="1" s="64">
      <c r="A17" s="34" t="inlineStr">
        <is>
          <t>PUMP PERFORMANCE (DUTY POINT)</t>
        </is>
      </c>
    </row>
    <row r="18">
      <c r="A18" s="27" t="inlineStr">
        <is>
          <t>Parameter</t>
        </is>
      </c>
      <c r="B18" s="27" t="inlineStr">
        <is>
          <t>Value</t>
        </is>
      </c>
      <c r="C18" s="27" t="n"/>
      <c r="D18" s="27" t="inlineStr">
        <is>
          <t>Parameter</t>
        </is>
      </c>
      <c r="E18" s="27" t="inlineStr">
        <is>
          <t>Value</t>
        </is>
      </c>
    </row>
    <row r="19">
      <c r="A19" s="33" t="inlineStr">
        <is>
          <t>Flow (Q)</t>
        </is>
      </c>
      <c r="B19" s="33" t="inlineStr">
        <is>
          <t>5060 LPM / 303.6 m³/h</t>
        </is>
      </c>
      <c r="C19" s="33" t="n"/>
      <c r="D19" s="33" t="inlineStr">
        <is>
          <t>Head (H)</t>
        </is>
      </c>
      <c r="E19" s="33" t="inlineStr">
        <is>
          <t>150.0 m</t>
        </is>
      </c>
    </row>
    <row r="20">
      <c r="A20" s="33" t="inlineStr">
        <is>
          <t>Speed</t>
        </is>
      </c>
      <c r="B20" s="33" t="inlineStr">
        <is>
          <t>1489 RPM</t>
        </is>
      </c>
      <c r="C20" s="33" t="n"/>
      <c r="D20" s="33" t="inlineStr">
        <is>
          <t>Efficiency</t>
        </is>
      </c>
      <c r="E20" s="33" t="inlineStr">
        <is>
          <t>75.77%</t>
        </is>
      </c>
    </row>
    <row r="21">
      <c r="A21" s="33" t="inlineStr">
        <is>
          <t>Shaft Input Power</t>
        </is>
      </c>
      <c r="B21" s="33" t="inlineStr">
        <is>
          <t>163.68 kW</t>
        </is>
      </c>
      <c r="C21" s="33" t="n"/>
      <c r="D21" s="33" t="inlineStr">
        <is>
          <t>Motor Rating</t>
        </is>
      </c>
      <c r="E21" s="33" t="inlineStr">
        <is>
          <t>200 kW</t>
        </is>
      </c>
    </row>
    <row r="22">
      <c r="A22" s="33" t="inlineStr">
        <is>
          <t>No. of Stages</t>
        </is>
      </c>
      <c r="B22" s="33" t="inlineStr">
        <is>
          <t>2</t>
        </is>
      </c>
      <c r="C22" s="33" t="n"/>
      <c r="D22" s="33" t="inlineStr">
        <is>
          <t>NPSHR</t>
        </is>
      </c>
      <c r="E22" s="33" t="inlineStr">
        <is>
          <t>4.57 m (MWC)</t>
        </is>
      </c>
    </row>
    <row r="23">
      <c r="A23" s="33" t="inlineStr">
        <is>
          <t>Shutoff Head</t>
        </is>
      </c>
      <c r="B23" s="33" t="inlineStr">
        <is>
          <t>171 m</t>
        </is>
      </c>
      <c r="C23" s="33" t="n"/>
      <c r="D23" s="33" t="inlineStr">
        <is>
          <t>Min Continuous Flow</t>
        </is>
      </c>
      <c r="E23" s="33" t="inlineStr">
        <is>
          <t>1750 LPM</t>
        </is>
      </c>
    </row>
    <row r="24">
      <c r="A24" s="33" t="inlineStr">
        <is>
          <t>Suction Nozzle</t>
        </is>
      </c>
      <c r="B24" s="33" t="inlineStr">
        <is>
          <t>200 mm (Flange ANSI 125/150 FF)</t>
        </is>
      </c>
      <c r="C24" s="33" t="n"/>
      <c r="D24" s="33" t="inlineStr">
        <is>
          <t>Discharge Nozzle</t>
        </is>
      </c>
      <c r="E24" s="33" t="inlineStr">
        <is>
          <t>150 mm (Flange ANSI 125/150 FF)</t>
        </is>
      </c>
    </row>
    <row r="25">
      <c r="A25" s="33" t="inlineStr">
        <is>
          <t>Max Head (Rated Imp)</t>
        </is>
      </c>
      <c r="B25" s="33" t="inlineStr">
        <is>
          <t>171 m</t>
        </is>
      </c>
      <c r="C25" s="33" t="n"/>
      <c r="D25" s="33" t="inlineStr">
        <is>
          <t>Total Static Load</t>
        </is>
      </c>
      <c r="E25" s="33" t="inlineStr">
        <is>
          <t>2175 kg</t>
        </is>
      </c>
    </row>
    <row r="27" ht="18" customHeight="1" s="64">
      <c r="A27" s="34" t="inlineStr">
        <is>
          <t>MATERIAL OF CONSTRUCTION</t>
        </is>
      </c>
    </row>
    <row r="28" ht="25.5" customHeight="1" s="64">
      <c r="A28" s="27" t="inlineStr">
        <is>
          <t>Component</t>
        </is>
      </c>
      <c r="B28" s="27" t="inlineStr">
        <is>
          <t>Material</t>
        </is>
      </c>
      <c r="C28" s="27" t="inlineStr">
        <is>
          <t>Spec / Standard</t>
        </is>
      </c>
      <c r="D28" s="27" t="inlineStr">
        <is>
          <t>Notes</t>
        </is>
      </c>
    </row>
    <row r="29" ht="38.25" customHeight="1" s="64">
      <c r="A29" s="33" t="inlineStr">
        <is>
          <t>Casing (Top &amp; Bottom Half)</t>
        </is>
      </c>
      <c r="B29" s="33" t="inlineStr">
        <is>
          <t>Cast Iron</t>
        </is>
      </c>
      <c r="C29" s="33" t="inlineStr">
        <is>
          <t>IS 210 Gr FG 260</t>
        </is>
      </c>
      <c r="D29" s="33" t="inlineStr">
        <is>
          <t>Axial (horizontal) split; single volute</t>
        </is>
      </c>
    </row>
    <row r="30" ht="25.5" customHeight="1" s="64">
      <c r="A30" s="33" t="inlineStr">
        <is>
          <t>Impeller 1st Stage (RH)</t>
        </is>
      </c>
      <c r="B30" s="33" t="inlineStr">
        <is>
          <t>Bronze LTB5</t>
        </is>
      </c>
      <c r="C30" s="33" t="inlineStr">
        <is>
          <t>IS 318 Gr LTB5</t>
        </is>
      </c>
      <c r="D30" s="33" t="inlineStr">
        <is>
          <t>Closed type; shaft mounted</t>
        </is>
      </c>
    </row>
    <row r="31" ht="25.5" customHeight="1" s="64">
      <c r="A31" s="33" t="inlineStr">
        <is>
          <t>Impeller 2nd Stage (LH)</t>
        </is>
      </c>
      <c r="B31" s="33" t="inlineStr">
        <is>
          <t>Bronze LTB5 + Coating</t>
        </is>
      </c>
      <c r="C31" s="33" t="inlineStr">
        <is>
          <t>IS 318 Gr LTB5</t>
        </is>
      </c>
      <c r="D31" s="33" t="inlineStr">
        <is>
          <t>2-stage; coated for water service</t>
        </is>
      </c>
    </row>
    <row r="32" ht="38.25" customHeight="1" s="64">
      <c r="A32" s="33" t="inlineStr">
        <is>
          <t>Shaft</t>
        </is>
      </c>
      <c r="B32" s="33" t="inlineStr">
        <is>
          <t>Stainless Steel 410</t>
        </is>
      </c>
      <c r="C32" s="33" t="inlineStr">
        <is>
          <t>ASTM A276 Gr 410</t>
        </is>
      </c>
      <c r="D32" s="33" t="inlineStr">
        <is>
          <t>Solid shaft; Ø90mm at coupling; SS410</t>
        </is>
      </c>
    </row>
    <row r="33" ht="38.25" customHeight="1" s="64">
      <c r="A33" s="33" t="inlineStr">
        <is>
          <t>Shaft Sleeve</t>
        </is>
      </c>
      <c r="B33" s="33" t="inlineStr">
        <is>
          <t>SS410</t>
        </is>
      </c>
      <c r="C33" s="33" t="inlineStr">
        <is>
          <t>ASTM A276 Gr 410</t>
        </is>
      </c>
      <c r="D33" s="33" t="inlineStr">
        <is>
          <t>Under gland packing; 2 nos</t>
        </is>
      </c>
    </row>
    <row r="34" ht="25.5" customHeight="1" s="64">
      <c r="A34" s="33" t="inlineStr">
        <is>
          <t>Neck Ring / Casing Wear Ring</t>
        </is>
      </c>
      <c r="B34" s="33" t="inlineStr">
        <is>
          <t>Bronze LTB5</t>
        </is>
      </c>
      <c r="C34" s="33" t="inlineStr">
        <is>
          <t>IS 318 Gr LTB5</t>
        </is>
      </c>
      <c r="D34" s="33" t="inlineStr">
        <is>
          <t>2 nos; wear protection</t>
        </is>
      </c>
    </row>
    <row r="35" ht="25.5" customHeight="1" s="64">
      <c r="A35" s="33" t="inlineStr">
        <is>
          <t>Gland Packing</t>
        </is>
      </c>
      <c r="B35" s="33" t="inlineStr">
        <is>
          <t>Graphited Cotton</t>
        </is>
      </c>
      <c r="C35" s="33" t="inlineStr">
        <is>
          <t>Manufacturer Std</t>
        </is>
      </c>
      <c r="D35" s="33" t="inlineStr">
        <is>
          <t>Standard stuffing box sealing</t>
        </is>
      </c>
    </row>
    <row r="36" ht="38.25" customHeight="1" s="64">
      <c r="A36" s="33" t="inlineStr">
        <is>
          <t>Stuffing Box / Gland</t>
        </is>
      </c>
      <c r="B36" s="33" t="inlineStr">
        <is>
          <t>Cast Iron</t>
        </is>
      </c>
      <c r="C36" s="33" t="inlineStr">
        <is>
          <t>IS 210 Gr FG 260</t>
        </is>
      </c>
      <c r="D36" s="33" t="inlineStr">
        <is>
          <t>Stuffing box cover, gland CI</t>
        </is>
      </c>
    </row>
    <row r="37" ht="25.5" customHeight="1" s="64">
      <c r="A37" s="33" t="inlineStr">
        <is>
          <t>Lantern Ring</t>
        </is>
      </c>
      <c r="B37" s="33" t="inlineStr">
        <is>
          <t>Glass Filled Nylon (GFN)</t>
        </is>
      </c>
      <c r="C37" s="33" t="inlineStr">
        <is>
          <t>Manufacturer Std</t>
        </is>
      </c>
      <c r="D37" s="33" t="inlineStr">
        <is>
          <t>In stuffing box assembly</t>
        </is>
      </c>
    </row>
    <row r="38" ht="38.25" customHeight="1" s="64">
      <c r="A38" s="33" t="inlineStr">
        <is>
          <t>Bearing Housing</t>
        </is>
      </c>
      <c r="B38" s="33" t="inlineStr">
        <is>
          <t>Cast Iron</t>
        </is>
      </c>
      <c r="C38" s="33" t="inlineStr">
        <is>
          <t>IS 210 Gr FG 260</t>
        </is>
      </c>
      <c r="D38" s="33" t="inlineStr">
        <is>
          <t>Deep groove ball bearings 6311 ZZ; grease lube</t>
        </is>
      </c>
    </row>
    <row r="39" ht="38.25" customHeight="1" s="64">
      <c r="A39" s="33" t="inlineStr">
        <is>
          <t>Inter-Stage Collar</t>
        </is>
      </c>
      <c r="B39" s="33" t="inlineStr">
        <is>
          <t>Cast Iron</t>
        </is>
      </c>
      <c r="C39" s="33" t="inlineStr">
        <is>
          <t>IS 210 Gr FG 260</t>
        </is>
      </c>
      <c r="D39" s="33" t="inlineStr">
        <is>
          <t>Between stages</t>
        </is>
      </c>
    </row>
    <row r="40" ht="38.25" customHeight="1" s="64">
      <c r="A40" s="33" t="inlineStr">
        <is>
          <t>Inter-Stage Ring</t>
        </is>
      </c>
      <c r="B40" s="33" t="inlineStr">
        <is>
          <t>Cast Iron</t>
        </is>
      </c>
      <c r="C40" s="33" t="inlineStr">
        <is>
          <t>IS 210 Gr FG 260</t>
        </is>
      </c>
      <c r="D40" s="33" t="inlineStr">
        <is>
          <t>Stage separation</t>
        </is>
      </c>
    </row>
    <row r="41" ht="25.5" customHeight="1" s="64">
      <c r="A41" s="33" t="inlineStr">
        <is>
          <t>O-Ring</t>
        </is>
      </c>
      <c r="B41" s="33" t="inlineStr">
        <is>
          <t>Nitrile Rubber (NBR)</t>
        </is>
      </c>
      <c r="C41" s="33" t="inlineStr">
        <is>
          <t>Manufacturer Std</t>
        </is>
      </c>
      <c r="D41" s="33" t="inlineStr">
        <is>
          <t>Casing sealing</t>
        </is>
      </c>
    </row>
    <row r="43" ht="18" customHeight="1" s="64">
      <c r="A43" s="34" t="inlineStr">
        <is>
          <t>WEIGHTS</t>
        </is>
      </c>
    </row>
    <row r="44">
      <c r="A44" s="27" t="inlineStr">
        <is>
          <t>Item</t>
        </is>
      </c>
      <c r="B44" s="27" t="inlineStr">
        <is>
          <t>Weight (kg)</t>
        </is>
      </c>
      <c r="C44" s="27" t="inlineStr">
        <is>
          <t>Notes</t>
        </is>
      </c>
    </row>
    <row r="45" ht="102" customHeight="1" s="64">
      <c r="A45" s="33" t="inlineStr">
        <is>
          <t>Complete Pump Package (Static Load)</t>
        </is>
      </c>
      <c r="B45" s="33" t="inlineStr">
        <is>
          <t>2175</t>
        </is>
      </c>
      <c r="C45" s="33" t="inlineStr">
        <is>
          <t>From GA drawing; total static load per Wilo datasheet</t>
        </is>
      </c>
    </row>
    <row r="46" ht="51" customHeight="1" s="64">
      <c r="A46" s="33" t="inlineStr">
        <is>
          <t>Motor (Kirloskar SA315M 200kW)</t>
        </is>
      </c>
      <c r="B46" s="33" t="inlineStr">
        <is>
          <t>1350</t>
        </is>
      </c>
      <c r="C46" s="33" t="inlineStr">
        <is>
          <t>From motor datasheet</t>
        </is>
      </c>
    </row>
    <row r="47" ht="89.25" customHeight="1" s="64">
      <c r="A47" s="33" t="inlineStr">
        <is>
          <t>Pump (bare — estimated)</t>
        </is>
      </c>
      <c r="B47" s="33" t="inlineStr">
        <is>
          <t>~825</t>
        </is>
      </c>
      <c r="C47" s="33" t="inlineStr">
        <is>
          <t>Total 2175 - Motor 1350 = ~825 kg estimated</t>
        </is>
      </c>
    </row>
    <row r="49" ht="18" customHeight="1" s="64">
      <c r="A49" s="34" t="inlineStr">
        <is>
          <t>MOTOR DATA (KIRLOSKAR ELECTRIC — KECL)</t>
        </is>
      </c>
    </row>
    <row r="50">
      <c r="A50" s="25" t="inlineStr">
        <is>
          <t>Make</t>
        </is>
      </c>
      <c r="B50" s="33" t="inlineStr">
        <is>
          <t>Kirloskar Electric Company Ltd (KECL), Unit-II Hubli</t>
        </is>
      </c>
    </row>
    <row r="51">
      <c r="A51" s="25" t="inlineStr">
        <is>
          <t>Frame</t>
        </is>
      </c>
      <c r="B51" s="33" t="inlineStr">
        <is>
          <t>SA315M</t>
        </is>
      </c>
    </row>
    <row r="52">
      <c r="A52" s="25" t="inlineStr">
        <is>
          <t>Output</t>
        </is>
      </c>
      <c r="B52" s="33" t="inlineStr">
        <is>
          <t>200 kW</t>
        </is>
      </c>
    </row>
    <row r="53">
      <c r="A53" s="25" t="inlineStr">
        <is>
          <t>Voltage / Frequency</t>
        </is>
      </c>
      <c r="B53" s="33" t="inlineStr">
        <is>
          <t>415V ±10% / 3Ph / 50Hz ±5%</t>
        </is>
      </c>
    </row>
    <row r="54">
      <c r="A54" s="25" t="inlineStr">
        <is>
          <t>Poles / Sync Speed</t>
        </is>
      </c>
      <c r="B54" s="33" t="inlineStr">
        <is>
          <t>4 Pole / 1500 RPM</t>
        </is>
      </c>
    </row>
    <row r="55">
      <c r="A55" s="25" t="inlineStr">
        <is>
          <t>Full Load Speed</t>
        </is>
      </c>
      <c r="B55" s="33" t="inlineStr">
        <is>
          <t>1484 RPM</t>
        </is>
      </c>
    </row>
    <row r="56">
      <c r="A56" s="25" t="inlineStr">
        <is>
          <t>Full Load Current</t>
        </is>
      </c>
      <c r="B56" s="33" t="inlineStr">
        <is>
          <t>332 A</t>
        </is>
      </c>
    </row>
    <row r="57">
      <c r="A57" s="25" t="inlineStr">
        <is>
          <t>Starting Method</t>
        </is>
      </c>
      <c r="B57" s="33" t="inlineStr">
        <is>
          <t>Star-Delta (Y-Δ)</t>
        </is>
      </c>
    </row>
    <row r="58">
      <c r="A58" s="25" t="inlineStr">
        <is>
          <t>Cooling</t>
        </is>
      </c>
      <c r="B58" s="33" t="inlineStr">
        <is>
          <t>IC01 (Open Drip Proof)</t>
        </is>
      </c>
    </row>
    <row r="59">
      <c r="A59" s="25" t="inlineStr">
        <is>
          <t>Protection</t>
        </is>
      </c>
      <c r="B59" s="33" t="inlineStr">
        <is>
          <t>IP23</t>
        </is>
      </c>
    </row>
    <row r="60">
      <c r="A60" s="25" t="inlineStr">
        <is>
          <t>Insulation Class</t>
        </is>
      </c>
      <c r="B60" s="33" t="inlineStr">
        <is>
          <t>F (Temp rise limited to Class B)</t>
        </is>
      </c>
    </row>
    <row r="61">
      <c r="A61" s="25" t="inlineStr">
        <is>
          <t>Duty</t>
        </is>
      </c>
      <c r="B61" s="33" t="inlineStr">
        <is>
          <t>S1 Continuous</t>
        </is>
      </c>
    </row>
    <row r="62">
      <c r="A62" s="25" t="inlineStr">
        <is>
          <t>Efficiency — Full/3/4/1/2 Load</t>
        </is>
      </c>
      <c r="B62" s="33" t="inlineStr">
        <is>
          <t>94% / 92.5% / 88%</t>
        </is>
      </c>
    </row>
    <row r="63">
      <c r="A63" s="25" t="inlineStr">
        <is>
          <t>Power Factor — Full/3/4/1/2 Load</t>
        </is>
      </c>
      <c r="B63" s="33" t="inlineStr">
        <is>
          <t>0.90 / 0.89 / 0.84</t>
        </is>
      </c>
    </row>
    <row r="64">
      <c r="A64" s="25" t="inlineStr">
        <is>
          <t>LRC (DOL / Y-Δ)</t>
        </is>
      </c>
      <c r="B64" s="33" t="inlineStr">
        <is>
          <t>6x / 2x FLC</t>
        </is>
      </c>
    </row>
    <row r="65">
      <c r="A65" s="25" t="inlineStr">
        <is>
          <t>LRT (DOL / Y-Δ)</t>
        </is>
      </c>
      <c r="B65" s="33" t="inlineStr">
        <is>
          <t>1.9x / 0.57x</t>
        </is>
      </c>
    </row>
    <row r="66">
      <c r="A66" s="25" t="inlineStr">
        <is>
          <t>Pull-Out Torque (POT)</t>
        </is>
      </c>
      <c r="B66" s="33" t="inlineStr">
        <is>
          <t>2.5x</t>
        </is>
      </c>
    </row>
    <row r="67">
      <c r="A67" s="25" t="inlineStr">
        <is>
          <t>Stall Time Cold/Hot (DOL)</t>
        </is>
      </c>
      <c r="B67" s="33" t="inlineStr">
        <is>
          <t>30s/15s; at Y-Δ: 89s/44s</t>
        </is>
      </c>
    </row>
    <row r="68">
      <c r="A68" s="25" t="inlineStr">
        <is>
          <t>Motor GD²</t>
        </is>
      </c>
      <c r="B68" s="33" t="inlineStr">
        <is>
          <t>30 kgm²</t>
        </is>
      </c>
    </row>
    <row r="69">
      <c r="A69" s="25" t="inlineStr">
        <is>
          <t>Motor Weight (approx)</t>
        </is>
      </c>
      <c r="B69" s="33" t="inlineStr">
        <is>
          <t>1350 kg</t>
        </is>
      </c>
    </row>
    <row r="70">
      <c r="A70" s="25" t="inlineStr">
        <is>
          <t>DE Bearing</t>
        </is>
      </c>
      <c r="B70" s="33" t="inlineStr">
        <is>
          <t>6319 C3</t>
        </is>
      </c>
    </row>
    <row r="71">
      <c r="A71" s="25" t="inlineStr">
        <is>
          <t>NDE Bearing</t>
        </is>
      </c>
      <c r="B71" s="33" t="inlineStr">
        <is>
          <t>6315 C3</t>
        </is>
      </c>
    </row>
    <row r="72">
      <c r="A72" s="25" t="inlineStr">
        <is>
          <t>Terminal Box Position</t>
        </is>
      </c>
      <c r="B72" s="33" t="inlineStr">
        <is>
          <t>As per GAD</t>
        </is>
      </c>
    </row>
    <row r="73">
      <c r="A73" s="25" t="inlineStr">
        <is>
          <t>Connection</t>
        </is>
      </c>
      <c r="B73" s="33" t="inlineStr">
        <is>
          <t>Delta (6 terminals)</t>
        </is>
      </c>
    </row>
    <row r="74">
      <c r="A74" s="25" t="inlineStr">
        <is>
          <t>Accessories</t>
        </is>
      </c>
      <c r="B74" s="33" t="inlineStr">
        <is>
          <t>ACH (2x65W/240V) + RTD Simplex Type 6 nos</t>
        </is>
      </c>
    </row>
    <row r="75">
      <c r="A75" s="25" t="inlineStr">
        <is>
          <t>Paint</t>
        </is>
      </c>
      <c r="B75" s="33" t="inlineStr">
        <is>
          <t>RAL 5010</t>
        </is>
      </c>
    </row>
    <row r="76">
      <c r="A76" s="25" t="inlineStr">
        <is>
          <t>Cable</t>
        </is>
      </c>
      <c r="B76" s="33" t="inlineStr">
        <is>
          <t>2R x 3C x 240 sq.mm</t>
        </is>
      </c>
    </row>
    <row r="77">
      <c r="A77" s="25" t="inlineStr">
        <is>
          <t>GAD Reference No.</t>
        </is>
      </c>
      <c r="B77" s="33" t="inlineStr">
        <is>
          <t>32210424</t>
        </is>
      </c>
    </row>
    <row r="78">
      <c r="A78" s="25" t="inlineStr">
        <is>
          <t>Thermal Withstand HOT (100%V)</t>
        </is>
      </c>
      <c r="B78" s="33" t="inlineStr">
        <is>
          <t>107 sec (datasheet curve)</t>
        </is>
      </c>
    </row>
    <row r="79">
      <c r="A79" s="25" t="inlineStr">
        <is>
          <t>Thermal Withstand COLD (100%V)</t>
        </is>
      </c>
      <c r="B79" s="33" t="inlineStr">
        <is>
          <t>60 sec</t>
        </is>
      </c>
    </row>
    <row r="81" ht="18" customHeight="1" s="64">
      <c r="A81" s="34" t="inlineStr">
        <is>
          <t>EXPANDED PARTS LIST (from Wilo Cross Section 81343152-20 CS)</t>
        </is>
      </c>
    </row>
    <row r="82">
      <c r="A82" s="27" t="inlineStr">
        <is>
          <t>Item No.</t>
        </is>
      </c>
      <c r="B82" s="27" t="inlineStr">
        <is>
          <t>Description</t>
        </is>
      </c>
      <c r="C82" s="27" t="inlineStr">
        <is>
          <t>Qty</t>
        </is>
      </c>
      <c r="D82" s="27" t="inlineStr">
        <is>
          <t>Material</t>
        </is>
      </c>
      <c r="E82" s="27" t="inlineStr">
        <is>
          <t>Notes</t>
        </is>
      </c>
    </row>
    <row r="83">
      <c r="A83" s="33" t="inlineStr">
        <is>
          <t>1001</t>
        </is>
      </c>
      <c r="B83" s="33" t="inlineStr">
        <is>
          <t>Casing Top Half</t>
        </is>
      </c>
      <c r="C83" s="33" t="n">
        <v>1</v>
      </c>
      <c r="D83" s="33" t="inlineStr">
        <is>
          <t>CI IS 210 FG 260</t>
        </is>
      </c>
      <c r="E83" s="33" t="n"/>
    </row>
    <row r="84">
      <c r="A84" s="33" t="inlineStr">
        <is>
          <t>1002</t>
        </is>
      </c>
      <c r="B84" s="33" t="inlineStr">
        <is>
          <t>Casing Bottom Half</t>
        </is>
      </c>
      <c r="C84" s="33" t="n">
        <v>1</v>
      </c>
      <c r="D84" s="33" t="inlineStr">
        <is>
          <t>CI IS 210 FG 260 + Coating</t>
        </is>
      </c>
      <c r="E84" s="33" t="n"/>
    </row>
    <row r="85">
      <c r="A85" s="33" t="inlineStr">
        <is>
          <t>1090</t>
        </is>
      </c>
      <c r="B85" s="33" t="inlineStr">
        <is>
          <t>Intermediate Bearing Bush</t>
        </is>
      </c>
      <c r="C85" s="33" t="n">
        <v>1</v>
      </c>
      <c r="D85" s="33" t="n"/>
      <c r="E85" s="33" t="inlineStr">
        <is>
          <t>Between stages</t>
        </is>
      </c>
    </row>
    <row r="86">
      <c r="A86" s="33" t="inlineStr">
        <is>
          <t>1100</t>
        </is>
      </c>
      <c r="B86" s="33" t="inlineStr">
        <is>
          <t>Inter-Stage Collar</t>
        </is>
      </c>
      <c r="C86" s="33" t="n">
        <v>1</v>
      </c>
      <c r="D86" s="33" t="inlineStr">
        <is>
          <t>CI IS 210 FG 260</t>
        </is>
      </c>
      <c r="E86" s="33" t="n"/>
    </row>
    <row r="87">
      <c r="A87" s="33" t="inlineStr">
        <is>
          <t>1181</t>
        </is>
      </c>
      <c r="B87" s="33" t="inlineStr">
        <is>
          <t>Neck Ring (Wear Ring)</t>
        </is>
      </c>
      <c r="C87" s="33" t="n">
        <v>2</v>
      </c>
      <c r="D87" s="33" t="inlineStr">
        <is>
          <t>Bronze LTB5</t>
        </is>
      </c>
      <c r="E87" s="33" t="n"/>
    </row>
    <row r="88">
      <c r="A88" s="33" t="inlineStr">
        <is>
          <t>1503</t>
        </is>
      </c>
      <c r="B88" s="33" t="inlineStr">
        <is>
          <t>Impeller 1st Stage (RH)</t>
        </is>
      </c>
      <c r="C88" s="33" t="n">
        <v>1</v>
      </c>
      <c r="D88" s="33" t="inlineStr">
        <is>
          <t>Bronze LTB2 + Coating</t>
        </is>
      </c>
      <c r="E88" s="33" t="inlineStr">
        <is>
          <t>Item on cross section</t>
        </is>
      </c>
    </row>
    <row r="89">
      <c r="A89" s="33" t="inlineStr">
        <is>
          <t>1504</t>
        </is>
      </c>
      <c r="B89" s="33" t="inlineStr">
        <is>
          <t>Impeller 2nd Stage (LH)</t>
        </is>
      </c>
      <c r="C89" s="33" t="n">
        <v>1</v>
      </c>
      <c r="D89" s="33" t="inlineStr">
        <is>
          <t>Bronze LTB5 + Coating</t>
        </is>
      </c>
      <c r="E89" s="33" t="n"/>
    </row>
    <row r="90">
      <c r="A90" s="33" t="inlineStr">
        <is>
          <t>1750</t>
        </is>
      </c>
      <c r="B90" s="33" t="inlineStr">
        <is>
          <t>Inter-Stage Ring</t>
        </is>
      </c>
      <c r="C90" s="33" t="n">
        <v>1</v>
      </c>
      <c r="D90" s="33" t="inlineStr">
        <is>
          <t>CI IS 210 FG 260</t>
        </is>
      </c>
      <c r="E90" s="33" t="n"/>
    </row>
    <row r="91">
      <c r="A91" s="33" t="inlineStr">
        <is>
          <t>1800</t>
        </is>
      </c>
      <c r="B91" s="33" t="inlineStr">
        <is>
          <t>Shaft</t>
        </is>
      </c>
      <c r="C91" s="33" t="n">
        <v>1</v>
      </c>
      <c r="D91" s="33" t="inlineStr">
        <is>
          <t>SS410 ASTM A276 Gr 410</t>
        </is>
      </c>
      <c r="E91" s="33" t="inlineStr">
        <is>
          <t>Solid; Ø90mm at coupling</t>
        </is>
      </c>
    </row>
    <row r="92">
      <c r="A92" s="33" t="inlineStr">
        <is>
          <t>2070</t>
        </is>
      </c>
      <c r="B92" s="33" t="inlineStr">
        <is>
          <t>Water Deflector</t>
        </is>
      </c>
      <c r="C92" s="33" t="n">
        <v>2</v>
      </c>
      <c r="D92" s="33" t="inlineStr">
        <is>
          <t>Nitrile Rubber</t>
        </is>
      </c>
      <c r="E92" s="33" t="n"/>
    </row>
    <row r="93">
      <c r="A93" s="33" t="inlineStr">
        <is>
          <t>2100</t>
        </is>
      </c>
      <c r="B93" s="33" t="inlineStr">
        <is>
          <t>Shaft Sleeve</t>
        </is>
      </c>
      <c r="C93" s="33" t="n">
        <v>2</v>
      </c>
      <c r="D93" s="33" t="inlineStr">
        <is>
          <t>SS410</t>
        </is>
      </c>
      <c r="E93" s="33" t="inlineStr">
        <is>
          <t>Under packing</t>
        </is>
      </c>
    </row>
    <row r="94">
      <c r="A94" s="33" t="inlineStr">
        <is>
          <t>2111</t>
        </is>
      </c>
      <c r="B94" s="33" t="inlineStr">
        <is>
          <t>Spacer Sleeve</t>
        </is>
      </c>
      <c r="C94" s="33" t="n">
        <v>2</v>
      </c>
      <c r="D94" s="33" t="inlineStr">
        <is>
          <t>SS410</t>
        </is>
      </c>
      <c r="E94" s="33" t="n"/>
    </row>
    <row r="95">
      <c r="A95" s="33" t="inlineStr">
        <is>
          <t>2300</t>
        </is>
      </c>
      <c r="B95" s="33" t="inlineStr">
        <is>
          <t>Lantern Ring</t>
        </is>
      </c>
      <c r="C95" s="33" t="n">
        <v>1</v>
      </c>
      <c r="D95" s="33" t="inlineStr">
        <is>
          <t>GFN (Glass Filled Nylon)</t>
        </is>
      </c>
      <c r="E95" s="33" t="n"/>
    </row>
    <row r="96">
      <c r="A96" s="33" t="inlineStr">
        <is>
          <t>2310</t>
        </is>
      </c>
      <c r="B96" s="33" t="inlineStr">
        <is>
          <t>Gland</t>
        </is>
      </c>
      <c r="C96" s="33" t="n">
        <v>2</v>
      </c>
      <c r="D96" s="33" t="inlineStr">
        <is>
          <t>CI IS 210 FG 260</t>
        </is>
      </c>
      <c r="E96" s="33" t="n"/>
    </row>
    <row r="97">
      <c r="A97" s="33" t="inlineStr">
        <is>
          <t>2404</t>
        </is>
      </c>
      <c r="B97" s="33" t="inlineStr">
        <is>
          <t>Stuffing Box Cover</t>
        </is>
      </c>
      <c r="C97" s="33" t="n">
        <v>2</v>
      </c>
      <c r="D97" s="33" t="inlineStr">
        <is>
          <t>CI IS 210 FG 260</t>
        </is>
      </c>
      <c r="E97" s="33" t="n"/>
    </row>
    <row r="98">
      <c r="A98" s="33" t="inlineStr">
        <is>
          <t>2410</t>
        </is>
      </c>
      <c r="B98" s="33" t="inlineStr">
        <is>
          <t>Gland Packing</t>
        </is>
      </c>
      <c r="C98" s="33" t="inlineStr">
        <is>
          <t>—</t>
        </is>
      </c>
      <c r="D98" s="33" t="inlineStr">
        <is>
          <t>Graphited Cotton</t>
        </is>
      </c>
      <c r="E98" s="33" t="inlineStr">
        <is>
          <t>Standard gland packing</t>
        </is>
      </c>
    </row>
    <row r="99">
      <c r="A99" s="33" t="inlineStr">
        <is>
          <t>2600</t>
        </is>
      </c>
      <c r="B99" s="33" t="inlineStr">
        <is>
          <t>Deep Groove Ball Bearing</t>
        </is>
      </c>
      <c r="C99" s="33" t="n">
        <v>2</v>
      </c>
      <c r="D99" s="33" t="inlineStr">
        <is>
          <t>Steel 6311 ZZ</t>
        </is>
      </c>
      <c r="E99" s="33" t="inlineStr">
        <is>
          <t>Grease lubricated</t>
        </is>
      </c>
    </row>
    <row r="100">
      <c r="A100" s="33" t="inlineStr">
        <is>
          <t>2753</t>
        </is>
      </c>
      <c r="B100" s="33" t="inlineStr">
        <is>
          <t>Bearing End Cover DE (Outer)</t>
        </is>
      </c>
      <c r="C100" s="33" t="n">
        <v>1</v>
      </c>
      <c r="D100" s="33" t="inlineStr">
        <is>
          <t>CI</t>
        </is>
      </c>
      <c r="E100" s="33" t="n"/>
    </row>
    <row r="101">
      <c r="A101" s="33" t="inlineStr">
        <is>
          <t>2756</t>
        </is>
      </c>
      <c r="B101" s="33" t="inlineStr">
        <is>
          <t>Bearing End Cover NDE (Outer)</t>
        </is>
      </c>
      <c r="C101" s="33" t="n">
        <v>1</v>
      </c>
      <c r="D101" s="33" t="inlineStr">
        <is>
          <t>CI</t>
        </is>
      </c>
      <c r="E101" s="33" t="n"/>
    </row>
    <row r="102">
      <c r="A102" s="33" t="inlineStr">
        <is>
          <t>2760</t>
        </is>
      </c>
      <c r="B102" s="33" t="inlineStr">
        <is>
          <t>Bearing Housing</t>
        </is>
      </c>
      <c r="C102" s="33" t="n">
        <v>2</v>
      </c>
      <c r="D102" s="33" t="inlineStr">
        <is>
          <t>CI IS 210 FG 260</t>
        </is>
      </c>
      <c r="E102" s="33" t="n"/>
    </row>
    <row r="103">
      <c r="A103" s="33" t="inlineStr">
        <is>
          <t>3010</t>
        </is>
      </c>
      <c r="B103" s="33" t="inlineStr">
        <is>
          <t>Lock Nut</t>
        </is>
      </c>
      <c r="C103" s="33" t="n">
        <v>1</v>
      </c>
      <c r="D103" s="33" t="inlineStr">
        <is>
          <t>Steel KM11</t>
        </is>
      </c>
      <c r="E103" s="33" t="n"/>
    </row>
    <row r="104">
      <c r="A104" s="33" t="inlineStr">
        <is>
          <t>3020</t>
        </is>
      </c>
      <c r="B104" s="33" t="inlineStr">
        <is>
          <t>Locking Washer</t>
        </is>
      </c>
      <c r="C104" s="33" t="n">
        <v>1</v>
      </c>
      <c r="D104" s="33" t="inlineStr">
        <is>
          <t>Steel MB11</t>
        </is>
      </c>
      <c r="E104" s="33" t="n"/>
    </row>
    <row r="105">
      <c r="A105" s="33" t="inlineStr">
        <is>
          <t>3031</t>
        </is>
      </c>
      <c r="B105" s="33" t="inlineStr">
        <is>
          <t>Sleeve Nut (LH)</t>
        </is>
      </c>
      <c r="C105" s="33" t="n">
        <v>2</v>
      </c>
      <c r="D105" s="33" t="inlineStr">
        <is>
          <t>SS410</t>
        </is>
      </c>
      <c r="E105" s="33" t="n"/>
    </row>
    <row r="106">
      <c r="A106" s="33" t="inlineStr">
        <is>
          <t>3032</t>
        </is>
      </c>
      <c r="B106" s="33" t="inlineStr">
        <is>
          <t>Sleeve Nut (RH)</t>
        </is>
      </c>
      <c r="C106" s="33" t="n">
        <v>2</v>
      </c>
      <c r="D106" s="33" t="inlineStr">
        <is>
          <t>SS410</t>
        </is>
      </c>
      <c r="E106" s="33" t="n"/>
    </row>
    <row r="107">
      <c r="A107" s="33" t="inlineStr">
        <is>
          <t>3200</t>
        </is>
      </c>
      <c r="B107" s="33" t="inlineStr">
        <is>
          <t>Impeller Key</t>
        </is>
      </c>
      <c r="C107" s="33" t="n">
        <v>1</v>
      </c>
      <c r="D107" s="33" t="inlineStr">
        <is>
          <t>SS410</t>
        </is>
      </c>
      <c r="E107" s="33" t="n"/>
    </row>
    <row r="108">
      <c r="A108" s="33" t="inlineStr">
        <is>
          <t>3250</t>
        </is>
      </c>
      <c r="B108" s="33" t="inlineStr">
        <is>
          <t>Coupling Key</t>
        </is>
      </c>
      <c r="C108" s="33" t="n">
        <v>1</v>
      </c>
      <c r="D108" s="33" t="inlineStr">
        <is>
          <t>SS410</t>
        </is>
      </c>
      <c r="E108" s="33" t="n"/>
    </row>
    <row r="109">
      <c r="A109" s="33" t="inlineStr">
        <is>
          <t>4250</t>
        </is>
      </c>
      <c r="B109" s="33" t="inlineStr">
        <is>
          <t>O-Ring</t>
        </is>
      </c>
      <c r="C109" s="33" t="n">
        <v>7</v>
      </c>
      <c r="D109" s="33" t="inlineStr">
        <is>
          <t>Nitrile Rubber</t>
        </is>
      </c>
      <c r="E109" s="33" t="inlineStr">
        <is>
          <t>Casing sealing</t>
        </is>
      </c>
    </row>
  </sheetData>
  <mergeCells count="49">
    <mergeCell ref="B50:L50"/>
    <mergeCell ref="B75:L75"/>
    <mergeCell ref="B62:L62"/>
    <mergeCell ref="B54:L54"/>
    <mergeCell ref="B7:L7"/>
    <mergeCell ref="B72:L72"/>
    <mergeCell ref="A17:M17"/>
    <mergeCell ref="B59:L59"/>
    <mergeCell ref="A4:M4"/>
    <mergeCell ref="B66:L66"/>
    <mergeCell ref="A81:M81"/>
    <mergeCell ref="A43:M43"/>
    <mergeCell ref="B56:L56"/>
    <mergeCell ref="B71:L71"/>
    <mergeCell ref="B12:L12"/>
    <mergeCell ref="B58:L58"/>
    <mergeCell ref="B52:L52"/>
    <mergeCell ref="B70:L70"/>
    <mergeCell ref="B77:L77"/>
    <mergeCell ref="B11:L11"/>
    <mergeCell ref="B14:L14"/>
    <mergeCell ref="B60:L60"/>
    <mergeCell ref="B67:L67"/>
    <mergeCell ref="A49:M49"/>
    <mergeCell ref="B61:L61"/>
    <mergeCell ref="B57:L57"/>
    <mergeCell ref="B8:L8"/>
    <mergeCell ref="B53:L53"/>
    <mergeCell ref="B73:L73"/>
    <mergeCell ref="B13:L13"/>
    <mergeCell ref="A1:M1"/>
    <mergeCell ref="B78:L78"/>
    <mergeCell ref="B69:L69"/>
    <mergeCell ref="B10:L10"/>
    <mergeCell ref="A2:M2"/>
    <mergeCell ref="B9:L9"/>
    <mergeCell ref="B65:L65"/>
    <mergeCell ref="B74:L74"/>
    <mergeCell ref="B6:L6"/>
    <mergeCell ref="B68:L68"/>
    <mergeCell ref="A27:M27"/>
    <mergeCell ref="B64:L64"/>
    <mergeCell ref="B15:L15"/>
    <mergeCell ref="B55:L55"/>
    <mergeCell ref="B5:L5"/>
    <mergeCell ref="B51:L51"/>
    <mergeCell ref="B76:L76"/>
    <mergeCell ref="B63:L63"/>
    <mergeCell ref="B79:L7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4"/>
  <sheetViews>
    <sheetView topLeftCell="A26" workbookViewId="0">
      <selection activeCell="A1" sqref="A1:M1"/>
    </sheetView>
  </sheetViews>
  <sheetFormatPr baseColWidth="8" defaultRowHeight="15"/>
  <cols>
    <col width="28" customWidth="1" style="64" min="1" max="1"/>
    <col width="55" customWidth="1" style="64" min="2" max="2"/>
    <col width="8" customWidth="1" style="64" min="3" max="3"/>
    <col width="28" customWidth="1" style="64" min="4" max="4"/>
    <col width="30" customWidth="1" style="64" min="5" max="5"/>
    <col width="10" customWidth="1" style="64" min="6" max="13"/>
  </cols>
  <sheetData>
    <row r="1" ht="24" customHeight="1" s="64">
      <c r="A1" s="35" t="inlineStr">
        <is>
          <t>DISSECTION SUMMARY — WILO 150-200-GSN 2-STAGE PUMP (BORIO)</t>
        </is>
      </c>
    </row>
    <row r="2">
      <c r="A2" s="36" t="inlineStr">
        <is>
          <t>Project: Taljhari &amp; Borio RWS Scheme, DW&amp;S Sahibganj | Doc: Wilo SO 81343152/20 | Customer: Sudhakara Infratech | End Customer: DW&amp;S Div Sahibganj</t>
        </is>
      </c>
    </row>
    <row r="4" ht="18" customHeight="1" s="64">
      <c r="A4" s="34" t="inlineStr">
        <is>
          <t>PUMP IDENTITY</t>
        </is>
      </c>
    </row>
    <row r="5">
      <c r="A5" s="25" t="inlineStr">
        <is>
          <t>Pump Model</t>
        </is>
      </c>
      <c r="B5" s="33" t="inlineStr">
        <is>
          <t>Wilo 150-200-GSN (2-Stage) — Borio ESR</t>
        </is>
      </c>
    </row>
    <row r="6">
      <c r="A6" s="25" t="inlineStr">
        <is>
          <t>Manufacturer</t>
        </is>
      </c>
      <c r="B6" s="33" t="inlineStr">
        <is>
          <t>Wilo Mather &amp; Platt Pumps Pvt Ltd, Pune-19</t>
        </is>
      </c>
    </row>
    <row r="7">
      <c r="A7" s="25" t="inlineStr">
        <is>
          <t>Service</t>
        </is>
      </c>
      <c r="B7" s="33" t="inlineStr">
        <is>
          <t>Clear Water Supply to ESR (Borio)</t>
        </is>
      </c>
    </row>
    <row r="8">
      <c r="A8" s="25" t="inlineStr">
        <is>
          <t>Wilo Sales Order No.</t>
        </is>
      </c>
      <c r="B8" s="33" t="inlineStr">
        <is>
          <t>81343152/20</t>
        </is>
      </c>
    </row>
    <row r="9">
      <c r="A9" s="25" t="inlineStr">
        <is>
          <t>Quantity</t>
        </is>
      </c>
      <c r="B9" s="33" t="inlineStr">
        <is>
          <t>2 Nos.</t>
        </is>
      </c>
    </row>
    <row r="10">
      <c r="A10" s="25" t="inlineStr">
        <is>
          <t>Type</t>
        </is>
      </c>
      <c r="B10" s="33" t="inlineStr">
        <is>
          <t>Horizontal Split Casing (HSC), 2-Stage, Single Volute, Foot Mount</t>
        </is>
      </c>
    </row>
    <row r="11">
      <c r="A11" s="25" t="inlineStr">
        <is>
          <t>Standard</t>
        </is>
      </c>
      <c r="B11" s="33" t="inlineStr">
        <is>
          <t>IS 6595</t>
        </is>
      </c>
    </row>
    <row r="12">
      <c r="A12" s="25" t="inlineStr">
        <is>
          <t>Drawing / Curve Ref</t>
        </is>
      </c>
      <c r="B12" s="33" t="inlineStr">
        <is>
          <t>GSN150-MC/12-P4-0-1480 (same series as Taljhari)</t>
        </is>
      </c>
    </row>
    <row r="13">
      <c r="A13" s="25" t="inlineStr">
        <is>
          <t>Rotation</t>
        </is>
      </c>
      <c r="B13" s="33" t="inlineStr">
        <is>
          <t>CCW from impeller end</t>
        </is>
      </c>
    </row>
    <row r="14">
      <c r="A14" s="25" t="inlineStr">
        <is>
          <t>Fluid</t>
        </is>
      </c>
      <c r="B14" s="33" t="inlineStr">
        <is>
          <t>Clear Water | SG=1 | Temp=30°C</t>
        </is>
      </c>
    </row>
    <row r="15">
      <c r="A15" s="25" t="inlineStr">
        <is>
          <t>Note</t>
        </is>
      </c>
      <c r="B15" s="33" t="inlineStr">
        <is>
          <t>Same pump model as Taljhari but different duty point and lower total weight</t>
        </is>
      </c>
    </row>
    <row r="17" ht="18" customHeight="1" s="64">
      <c r="A17" s="34" t="inlineStr">
        <is>
          <t>PUMP PERFORMANCE (DUTY POINT)</t>
        </is>
      </c>
    </row>
    <row r="18">
      <c r="A18" s="27" t="inlineStr">
        <is>
          <t>Parameter</t>
        </is>
      </c>
      <c r="B18" s="27" t="inlineStr">
        <is>
          <t>Value</t>
        </is>
      </c>
      <c r="C18" s="27" t="n"/>
      <c r="D18" s="27" t="inlineStr">
        <is>
          <t>Parameter</t>
        </is>
      </c>
      <c r="E18" s="27" t="inlineStr">
        <is>
          <t>Value</t>
        </is>
      </c>
    </row>
    <row r="19">
      <c r="A19" s="33" t="inlineStr">
        <is>
          <t>Flow (Q)</t>
        </is>
      </c>
      <c r="B19" s="33" t="inlineStr">
        <is>
          <t>5170 LPM / 310.2 m³/h</t>
        </is>
      </c>
      <c r="C19" s="33" t="n"/>
      <c r="D19" s="33" t="inlineStr">
        <is>
          <t>Head (H)</t>
        </is>
      </c>
      <c r="E19" s="33" t="inlineStr">
        <is>
          <t>143.83 m</t>
        </is>
      </c>
    </row>
    <row r="20">
      <c r="A20" s="33" t="inlineStr">
        <is>
          <t>Speed</t>
        </is>
      </c>
      <c r="B20" s="33" t="inlineStr">
        <is>
          <t>1488 RPM</t>
        </is>
      </c>
      <c r="C20" s="33" t="n"/>
      <c r="D20" s="33" t="inlineStr">
        <is>
          <t>Efficiency</t>
        </is>
      </c>
      <c r="E20" s="33" t="inlineStr">
        <is>
          <t>76.10%</t>
        </is>
      </c>
    </row>
    <row r="21">
      <c r="A21" s="33" t="inlineStr">
        <is>
          <t>Shaft Input Power</t>
        </is>
      </c>
      <c r="B21" s="33" t="inlineStr">
        <is>
          <t>159.66 kW</t>
        </is>
      </c>
      <c r="C21" s="33" t="n"/>
      <c r="D21" s="33" t="inlineStr">
        <is>
          <t>Motor Rating</t>
        </is>
      </c>
      <c r="E21" s="33" t="inlineStr">
        <is>
          <t>190 kW (Non-Standard)</t>
        </is>
      </c>
    </row>
    <row r="22">
      <c r="A22" s="33" t="inlineStr">
        <is>
          <t>No. of Stages</t>
        </is>
      </c>
      <c r="B22" s="33" t="inlineStr">
        <is>
          <t>2</t>
        </is>
      </c>
      <c r="C22" s="33" t="n"/>
      <c r="D22" s="33" t="inlineStr">
        <is>
          <t>NPSHR</t>
        </is>
      </c>
      <c r="E22" s="33" t="inlineStr">
        <is>
          <t>Flooded (not specified)</t>
        </is>
      </c>
    </row>
    <row r="23">
      <c r="A23" s="33" t="inlineStr">
        <is>
          <t>Max Head (Rated Imp)</t>
        </is>
      </c>
      <c r="B23" s="33" t="inlineStr">
        <is>
          <t>166 m</t>
        </is>
      </c>
      <c r="C23" s="33" t="n"/>
      <c r="D23" s="33" t="inlineStr">
        <is>
          <t>Min Continuous Flow</t>
        </is>
      </c>
      <c r="E23" s="33" t="inlineStr">
        <is>
          <t>1750 LPM</t>
        </is>
      </c>
    </row>
    <row r="24">
      <c r="A24" s="33" t="inlineStr">
        <is>
          <t>Suction Nozzle</t>
        </is>
      </c>
      <c r="B24" s="33" t="inlineStr">
        <is>
          <t>200 mm ANSI 125/150 FF</t>
        </is>
      </c>
      <c r="C24" s="33" t="n"/>
      <c r="D24" s="33" t="inlineStr">
        <is>
          <t>Discharge Nozzle</t>
        </is>
      </c>
      <c r="E24" s="33" t="inlineStr">
        <is>
          <t>150 mm ANSI 125/150 FF</t>
        </is>
      </c>
    </row>
    <row r="25">
      <c r="A25" s="33" t="inlineStr">
        <is>
          <t>Max Impeller Power</t>
        </is>
      </c>
      <c r="B25" s="33" t="inlineStr">
        <is>
          <t>175.59 kW</t>
        </is>
      </c>
      <c r="C25" s="33" t="n"/>
      <c r="D25" s="33" t="inlineStr">
        <is>
          <t>Total Static Load</t>
        </is>
      </c>
      <c r="E25" s="33" t="inlineStr">
        <is>
          <t>1823 kg</t>
        </is>
      </c>
    </row>
    <row r="27" ht="18" customHeight="1" s="64">
      <c r="A27" s="34" t="inlineStr">
        <is>
          <t>MATERIAL OF CONSTRUCTION</t>
        </is>
      </c>
    </row>
    <row r="28" ht="25.5" customHeight="1" s="64">
      <c r="A28" s="27" t="inlineStr">
        <is>
          <t>Component</t>
        </is>
      </c>
      <c r="B28" s="27" t="inlineStr">
        <is>
          <t>Material</t>
        </is>
      </c>
      <c r="C28" s="27" t="inlineStr">
        <is>
          <t>Spec / Standard</t>
        </is>
      </c>
      <c r="D28" s="27" t="inlineStr">
        <is>
          <t>Notes</t>
        </is>
      </c>
    </row>
    <row r="29" ht="38.25" customHeight="1" s="64">
      <c r="A29" s="33" t="inlineStr">
        <is>
          <t>Casing (Top &amp; Bottom Half)</t>
        </is>
      </c>
      <c r="B29" s="33" t="inlineStr">
        <is>
          <t>Cast Iron</t>
        </is>
      </c>
      <c r="C29" s="33" t="inlineStr">
        <is>
          <t>IS 210 Gr FG 260</t>
        </is>
      </c>
      <c r="D29" s="33" t="inlineStr">
        <is>
          <t>Axial (horizontal) split; single volute</t>
        </is>
      </c>
    </row>
    <row r="30" ht="25.5" customHeight="1" s="64">
      <c r="A30" s="33" t="inlineStr">
        <is>
          <t>Impeller 1st Stage (RH)</t>
        </is>
      </c>
      <c r="B30" s="33" t="inlineStr">
        <is>
          <t>Bronze LTB5</t>
        </is>
      </c>
      <c r="C30" s="33" t="inlineStr">
        <is>
          <t>IS 318 Gr LTB5</t>
        </is>
      </c>
      <c r="D30" s="33" t="inlineStr">
        <is>
          <t>Closed type; shaft mounted</t>
        </is>
      </c>
    </row>
    <row r="31" ht="25.5" customHeight="1" s="64">
      <c r="A31" s="33" t="inlineStr">
        <is>
          <t>Impeller 2nd Stage (LH)</t>
        </is>
      </c>
      <c r="B31" s="33" t="inlineStr">
        <is>
          <t>Bronze LTB5 + Coating</t>
        </is>
      </c>
      <c r="C31" s="33" t="inlineStr">
        <is>
          <t>IS 318 Gr LTB5</t>
        </is>
      </c>
      <c r="D31" s="33" t="inlineStr">
        <is>
          <t>2-stage; coated for water service</t>
        </is>
      </c>
    </row>
    <row r="32" ht="38.25" customHeight="1" s="64">
      <c r="A32" s="33" t="inlineStr">
        <is>
          <t>Shaft</t>
        </is>
      </c>
      <c r="B32" s="33" t="inlineStr">
        <is>
          <t>Stainless Steel 410</t>
        </is>
      </c>
      <c r="C32" s="33" t="inlineStr">
        <is>
          <t>ASTM A276 Gr 410</t>
        </is>
      </c>
      <c r="D32" s="33" t="inlineStr">
        <is>
          <t>Solid shaft; Ø90mm at coupling; SS410</t>
        </is>
      </c>
    </row>
    <row r="33" ht="38.25" customHeight="1" s="64">
      <c r="A33" s="33" t="inlineStr">
        <is>
          <t>Shaft Sleeve</t>
        </is>
      </c>
      <c r="B33" s="33" t="inlineStr">
        <is>
          <t>SS410</t>
        </is>
      </c>
      <c r="C33" s="33" t="inlineStr">
        <is>
          <t>ASTM A276 Gr 410</t>
        </is>
      </c>
      <c r="D33" s="33" t="inlineStr">
        <is>
          <t>Under gland packing; 2 nos</t>
        </is>
      </c>
    </row>
    <row r="34" ht="25.5" customHeight="1" s="64">
      <c r="A34" s="33" t="inlineStr">
        <is>
          <t>Neck Ring / Casing Wear Ring</t>
        </is>
      </c>
      <c r="B34" s="33" t="inlineStr">
        <is>
          <t>Bronze LTB5</t>
        </is>
      </c>
      <c r="C34" s="33" t="inlineStr">
        <is>
          <t>IS 318 Gr LTB5</t>
        </is>
      </c>
      <c r="D34" s="33" t="inlineStr">
        <is>
          <t>2 nos; wear protection</t>
        </is>
      </c>
    </row>
    <row r="35" ht="25.5" customHeight="1" s="64">
      <c r="A35" s="33" t="inlineStr">
        <is>
          <t>Gland Packing</t>
        </is>
      </c>
      <c r="B35" s="33" t="inlineStr">
        <is>
          <t>Graphited Cotton</t>
        </is>
      </c>
      <c r="C35" s="33" t="inlineStr">
        <is>
          <t>Manufacturer Std</t>
        </is>
      </c>
      <c r="D35" s="33" t="inlineStr">
        <is>
          <t>Standard stuffing box sealing</t>
        </is>
      </c>
    </row>
    <row r="36" ht="38.25" customHeight="1" s="64">
      <c r="A36" s="33" t="inlineStr">
        <is>
          <t>Stuffing Box / Gland</t>
        </is>
      </c>
      <c r="B36" s="33" t="inlineStr">
        <is>
          <t>Cast Iron</t>
        </is>
      </c>
      <c r="C36" s="33" t="inlineStr">
        <is>
          <t>IS 210 Gr FG 260</t>
        </is>
      </c>
      <c r="D36" s="33" t="inlineStr">
        <is>
          <t>Stuffing box cover, gland CI</t>
        </is>
      </c>
    </row>
    <row r="37" ht="25.5" customHeight="1" s="64">
      <c r="A37" s="33" t="inlineStr">
        <is>
          <t>Lantern Ring</t>
        </is>
      </c>
      <c r="B37" s="33" t="inlineStr">
        <is>
          <t>Glass Filled Nylon (GFN)</t>
        </is>
      </c>
      <c r="C37" s="33" t="inlineStr">
        <is>
          <t>Manufacturer Std</t>
        </is>
      </c>
      <c r="D37" s="33" t="inlineStr">
        <is>
          <t>In stuffing box assembly</t>
        </is>
      </c>
    </row>
    <row r="38" ht="38.25" customHeight="1" s="64">
      <c r="A38" s="33" t="inlineStr">
        <is>
          <t>Bearing Housing</t>
        </is>
      </c>
      <c r="B38" s="33" t="inlineStr">
        <is>
          <t>Cast Iron</t>
        </is>
      </c>
      <c r="C38" s="33" t="inlineStr">
        <is>
          <t>IS 210 Gr FG 260</t>
        </is>
      </c>
      <c r="D38" s="33" t="inlineStr">
        <is>
          <t>Deep groove ball bearings 6311 ZZ; grease lube</t>
        </is>
      </c>
    </row>
    <row r="39" ht="38.25" customHeight="1" s="64">
      <c r="A39" s="33" t="inlineStr">
        <is>
          <t>Inter-Stage Collar</t>
        </is>
      </c>
      <c r="B39" s="33" t="inlineStr">
        <is>
          <t>Cast Iron</t>
        </is>
      </c>
      <c r="C39" s="33" t="inlineStr">
        <is>
          <t>IS 210 Gr FG 260</t>
        </is>
      </c>
      <c r="D39" s="33" t="inlineStr">
        <is>
          <t>Between stages</t>
        </is>
      </c>
    </row>
    <row r="40" ht="38.25" customHeight="1" s="64">
      <c r="A40" s="33" t="inlineStr">
        <is>
          <t>Inter-Stage Ring</t>
        </is>
      </c>
      <c r="B40" s="33" t="inlineStr">
        <is>
          <t>Cast Iron</t>
        </is>
      </c>
      <c r="C40" s="33" t="inlineStr">
        <is>
          <t>IS 210 Gr FG 260</t>
        </is>
      </c>
      <c r="D40" s="33" t="inlineStr">
        <is>
          <t>Stage separation</t>
        </is>
      </c>
    </row>
    <row r="41" ht="25.5" customHeight="1" s="64">
      <c r="A41" s="33" t="inlineStr">
        <is>
          <t>O-Ring</t>
        </is>
      </c>
      <c r="B41" s="33" t="inlineStr">
        <is>
          <t>Nitrile Rubber (NBR)</t>
        </is>
      </c>
      <c r="C41" s="33" t="inlineStr">
        <is>
          <t>Manufacturer Std</t>
        </is>
      </c>
      <c r="D41" s="33" t="inlineStr">
        <is>
          <t>Casing sealing</t>
        </is>
      </c>
    </row>
    <row r="43" ht="18" customHeight="1" s="64">
      <c r="A43" s="34" t="inlineStr">
        <is>
          <t>WEIGHTS</t>
        </is>
      </c>
    </row>
    <row r="44">
      <c r="A44" s="27" t="inlineStr">
        <is>
          <t>Item</t>
        </is>
      </c>
      <c r="B44" s="27" t="inlineStr">
        <is>
          <t>Weight (kg)</t>
        </is>
      </c>
      <c r="C44" s="27" t="inlineStr">
        <is>
          <t>Notes</t>
        </is>
      </c>
    </row>
    <row r="45" ht="102" customHeight="1" s="64">
      <c r="A45" s="33" t="inlineStr">
        <is>
          <t>Complete Pump Package (Static Load)</t>
        </is>
      </c>
      <c r="B45" s="33" t="inlineStr">
        <is>
          <t>1823</t>
        </is>
      </c>
      <c r="C45" s="33" t="inlineStr">
        <is>
          <t>From GA drawing; total static load per Wilo datasheet</t>
        </is>
      </c>
    </row>
    <row r="46" ht="89.25" customHeight="1" s="64">
      <c r="A46" s="33" t="inlineStr">
        <is>
          <t>Motor (Non-Standard 190kW)</t>
        </is>
      </c>
      <c r="B46" s="33" t="inlineStr">
        <is>
          <t>~1250</t>
        </is>
      </c>
      <c r="C46" s="33" t="inlineStr">
        <is>
          <t>Approx per datasheet; non-standard motor rating</t>
        </is>
      </c>
    </row>
    <row r="47" ht="89.25" customHeight="1" s="64">
      <c r="A47" s="33" t="inlineStr">
        <is>
          <t>Pump (bare — estimated)</t>
        </is>
      </c>
      <c r="B47" s="33" t="inlineStr">
        <is>
          <t>~573</t>
        </is>
      </c>
      <c r="C47" s="33" t="inlineStr">
        <is>
          <t>Total 1823 - Motor 1250 = ~573 kg estimated</t>
        </is>
      </c>
    </row>
    <row r="49" ht="18" customHeight="1" s="64">
      <c r="A49" s="34" t="inlineStr">
        <is>
          <t>MOTOR DATA</t>
        </is>
      </c>
    </row>
    <row r="50">
      <c r="A50" s="25" t="inlineStr">
        <is>
          <t>Make</t>
        </is>
      </c>
      <c r="B50" s="33" t="inlineStr">
        <is>
          <t>Kirloskar Electric Company Ltd (KECL)</t>
        </is>
      </c>
    </row>
    <row r="51">
      <c r="A51" s="25" t="inlineStr">
        <is>
          <t>Rating</t>
        </is>
      </c>
      <c r="B51" s="33" t="inlineStr">
        <is>
          <t>190 kW — NON-STANDARD RATING (flagged in Wilo datasheet)</t>
        </is>
      </c>
    </row>
    <row r="52">
      <c r="A52" s="25" t="inlineStr">
        <is>
          <t>Voltage</t>
        </is>
      </c>
      <c r="B52" s="33" t="inlineStr">
        <is>
          <t>415V / 3Ph / 50Hz</t>
        </is>
      </c>
    </row>
    <row r="53">
      <c r="A53" s="25" t="inlineStr">
        <is>
          <t>Poles / Speed</t>
        </is>
      </c>
      <c r="B53" s="33" t="inlineStr">
        <is>
          <t>4 Pole / 1488 RPM (Full Load)</t>
        </is>
      </c>
    </row>
    <row r="54">
      <c r="A54" s="25" t="inlineStr">
        <is>
          <t>Full Load Current</t>
        </is>
      </c>
      <c r="B54" s="33" t="inlineStr">
        <is>
          <t>~309 A (estimated proportional to 200kW/332A)</t>
        </is>
      </c>
    </row>
    <row r="55">
      <c r="A55" s="25" t="inlineStr">
        <is>
          <t>Starting Method</t>
        </is>
      </c>
      <c r="B55" s="33" t="inlineStr">
        <is>
          <t>Star-Delta (Y-Δ)</t>
        </is>
      </c>
    </row>
    <row r="56">
      <c r="A56" s="25" t="inlineStr">
        <is>
          <t>Weight (approx)</t>
        </is>
      </c>
      <c r="B56" s="33" t="inlineStr">
        <is>
          <t>1250 kg</t>
        </is>
      </c>
    </row>
    <row r="57">
      <c r="A57" s="25" t="inlineStr">
        <is>
          <t>Note</t>
        </is>
      </c>
      <c r="B57" s="33" t="inlineStr">
        <is>
          <t>190kW is non-standard — Wilo datasheet flags this explicitly. Verify with KECL</t>
        </is>
      </c>
    </row>
    <row r="59" ht="18" customHeight="1" s="64">
      <c r="A59" s="34" t="inlineStr">
        <is>
          <t>NOTES — DIFFERENCE FROM TALJHARI PUMP</t>
        </is>
      </c>
    </row>
    <row r="60">
      <c r="A60" s="25" t="inlineStr">
        <is>
          <t>Key Difference 1</t>
        </is>
      </c>
      <c r="B60" s="33" t="inlineStr">
        <is>
          <t>Lower duty point: Q=5170 LPM (vs 5060) at H=143.83m (vs 150m)</t>
        </is>
      </c>
    </row>
    <row r="61">
      <c r="A61" s="25" t="inlineStr">
        <is>
          <t>Key Difference 2</t>
        </is>
      </c>
      <c r="B61" s="33" t="inlineStr">
        <is>
          <t>Lower motor rating: 190kW non-standard (vs 200kW standard for Taljhari)</t>
        </is>
      </c>
    </row>
    <row r="62">
      <c r="A62" s="25" t="inlineStr">
        <is>
          <t>Key Difference 3</t>
        </is>
      </c>
      <c r="B62" s="33" t="inlineStr">
        <is>
          <t>Lower total package weight: 1823 kg (vs 2175 kg for Taljhari)</t>
        </is>
      </c>
    </row>
    <row r="63">
      <c r="A63" s="25" t="inlineStr">
        <is>
          <t>Key Difference 4</t>
        </is>
      </c>
      <c r="B63" s="33" t="inlineStr">
        <is>
          <t>Wilo SO number different: 81343152/20 (vs 81343152/11 for Taljhari)</t>
        </is>
      </c>
    </row>
    <row r="64">
      <c r="A64" s="25" t="inlineStr">
        <is>
          <t>Similarity</t>
        </is>
      </c>
      <c r="B64" s="33" t="inlineStr">
        <is>
          <t>Same pump model, same frame, same MOC, same bearing arrangement</t>
        </is>
      </c>
    </row>
  </sheetData>
  <mergeCells count="32">
    <mergeCell ref="B50:L50"/>
    <mergeCell ref="B62:L62"/>
    <mergeCell ref="B54:L54"/>
    <mergeCell ref="B7:L7"/>
    <mergeCell ref="A17:M17"/>
    <mergeCell ref="A4:M4"/>
    <mergeCell ref="A43:M43"/>
    <mergeCell ref="B56:L56"/>
    <mergeCell ref="B12:L12"/>
    <mergeCell ref="B52:L52"/>
    <mergeCell ref="B11:L11"/>
    <mergeCell ref="A59:M59"/>
    <mergeCell ref="B60:L60"/>
    <mergeCell ref="B14:L14"/>
    <mergeCell ref="B63:L63"/>
    <mergeCell ref="A49:M49"/>
    <mergeCell ref="B61:L61"/>
    <mergeCell ref="B57:L57"/>
    <mergeCell ref="B8:L8"/>
    <mergeCell ref="B53:L53"/>
    <mergeCell ref="B13:L13"/>
    <mergeCell ref="A1:M1"/>
    <mergeCell ref="B10:L10"/>
    <mergeCell ref="B9:L9"/>
    <mergeCell ref="B6:L6"/>
    <mergeCell ref="A27:M27"/>
    <mergeCell ref="B64:L64"/>
    <mergeCell ref="B15:L15"/>
    <mergeCell ref="B55:L55"/>
    <mergeCell ref="B5:L5"/>
    <mergeCell ref="B51:L51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1"/>
  <sheetViews>
    <sheetView topLeftCell="A23" workbookViewId="0">
      <selection activeCell="A1" sqref="A1:M1"/>
    </sheetView>
  </sheetViews>
  <sheetFormatPr baseColWidth="8" defaultRowHeight="15"/>
  <cols>
    <col width="28" customWidth="1" style="64" min="1" max="1"/>
    <col width="22" customWidth="1" style="64" min="2" max="3"/>
    <col width="18" customWidth="1" style="64" min="4" max="4"/>
    <col width="30" customWidth="1" style="64" min="5" max="5"/>
    <col width="10" customWidth="1" style="64" min="6" max="13"/>
  </cols>
  <sheetData>
    <row r="1" ht="24" customHeight="1" s="64">
      <c r="A1" s="35" t="inlineStr">
        <is>
          <t>DISSECTION SUMMARY — JYOTI 400TE3D4 (5-STAGE VERTICAL TURBINE PUMP)</t>
        </is>
      </c>
    </row>
    <row r="2">
      <c r="A2" s="36" t="inlineStr">
        <is>
          <t>Project: MP Jal Nigam Pawai | Customer: Zetwerk Manufacturing | Report: SP-PT25-P31722_3 Rev R0 | Date: 30-06-2025 | Drawing: GA/CS-2022</t>
        </is>
      </c>
    </row>
    <row r="4" ht="18" customHeight="1" s="64">
      <c r="A4" s="34" t="inlineStr">
        <is>
          <t>PUMP IDENTITY</t>
        </is>
      </c>
    </row>
    <row r="5">
      <c r="A5" s="25" t="inlineStr">
        <is>
          <t>Pump Model</t>
        </is>
      </c>
      <c r="B5" s="33" t="inlineStr">
        <is>
          <t>Jyoti 400TE3D4</t>
        </is>
      </c>
    </row>
    <row r="6">
      <c r="A6" s="25" t="inlineStr">
        <is>
          <t>Manufacturer</t>
        </is>
      </c>
      <c r="B6" s="33" t="inlineStr">
        <is>
          <t>Jyoti Ltd, Vadodara, Gujarat</t>
        </is>
      </c>
    </row>
    <row r="7">
      <c r="A7" s="25" t="inlineStr">
        <is>
          <t>Report No.</t>
        </is>
      </c>
      <c r="B7" s="33" t="inlineStr">
        <is>
          <t>SP-PT25-P31722_3</t>
        </is>
      </c>
    </row>
    <row r="8">
      <c r="A8" s="25" t="inlineStr">
        <is>
          <t>Sale Note No.</t>
        </is>
      </c>
      <c r="B8" s="33" t="inlineStr">
        <is>
          <t>P31722_3</t>
        </is>
      </c>
    </row>
    <row r="9">
      <c r="A9" s="25" t="inlineStr">
        <is>
          <t>Service</t>
        </is>
      </c>
      <c r="B9" s="33" t="inlineStr">
        <is>
          <t>Water Supply — MP Jal Nigam Pawai Project</t>
        </is>
      </c>
    </row>
    <row r="10">
      <c r="A10" s="25" t="inlineStr">
        <is>
          <t>Customer</t>
        </is>
      </c>
      <c r="B10" s="33" t="inlineStr">
        <is>
          <t>Zetwerk Manufacturing Businesses Pvt Ltd</t>
        </is>
      </c>
    </row>
    <row r="11">
      <c r="A11" s="25" t="inlineStr">
        <is>
          <t>Quantity</t>
        </is>
      </c>
      <c r="B11" s="33" t="inlineStr">
        <is>
          <t>2 Nos.</t>
        </is>
      </c>
    </row>
    <row r="12">
      <c r="A12" s="25" t="inlineStr">
        <is>
          <t>Pump Type</t>
        </is>
      </c>
      <c r="B12" s="33" t="inlineStr">
        <is>
          <t>Vertical Turbine Pump (VTP)</t>
        </is>
      </c>
    </row>
    <row r="13">
      <c r="A13" s="25" t="inlineStr">
        <is>
          <t>No. of Stages</t>
        </is>
      </c>
      <c r="B13" s="33" t="inlineStr">
        <is>
          <t>5</t>
        </is>
      </c>
    </row>
    <row r="14">
      <c r="A14" s="25" t="inlineStr">
        <is>
          <t>Discharge Type</t>
        </is>
      </c>
      <c r="B14" s="33" t="inlineStr">
        <is>
          <t>Above Floor</t>
        </is>
      </c>
    </row>
    <row r="15">
      <c r="A15" s="25" t="inlineStr">
        <is>
          <t>Column Assembly Size</t>
        </is>
      </c>
      <c r="B15" s="33" t="inlineStr">
        <is>
          <t>300 x 60 mm (Column Pipe Ø300mm NB / Line Shaft Ø60mm NB)</t>
        </is>
      </c>
    </row>
    <row r="16">
      <c r="A16" s="25" t="inlineStr">
        <is>
          <t>Discharge Assembly Size</t>
        </is>
      </c>
      <c r="B16" s="33" t="inlineStr">
        <is>
          <t>DS-300</t>
        </is>
      </c>
    </row>
    <row r="17">
      <c r="A17" s="25" t="inlineStr">
        <is>
          <t>Lubrication</t>
        </is>
      </c>
      <c r="B17" s="33" t="inlineStr">
        <is>
          <t>Self Water (water-lubricated line shaft bearings)</t>
        </is>
      </c>
    </row>
    <row r="18">
      <c r="A18" s="25" t="inlineStr">
        <is>
          <t>Fluid</t>
        </is>
      </c>
      <c r="B18" s="33" t="inlineStr">
        <is>
          <t>Water | SG=1</t>
        </is>
      </c>
    </row>
    <row r="19">
      <c r="A19" s="25" t="inlineStr">
        <is>
          <t>Sealing Type</t>
        </is>
      </c>
      <c r="B19" s="33" t="inlineStr">
        <is>
          <t>Gland Packing (Standard)</t>
        </is>
      </c>
    </row>
    <row r="21" ht="18" customHeight="1" s="64">
      <c r="A21" s="34" t="inlineStr">
        <is>
          <t>PUMP PERFORMANCE (DUTY POINT)</t>
        </is>
      </c>
    </row>
    <row r="22">
      <c r="A22" s="27" t="inlineStr">
        <is>
          <t>Parameter</t>
        </is>
      </c>
      <c r="B22" s="27" t="inlineStr">
        <is>
          <t>Bowl Value</t>
        </is>
      </c>
      <c r="C22" s="27" t="inlineStr">
        <is>
          <t>Pump Value</t>
        </is>
      </c>
      <c r="D22" s="27" t="inlineStr">
        <is>
          <t>Units</t>
        </is>
      </c>
      <c r="E22" s="27" t="inlineStr">
        <is>
          <t>Notes</t>
        </is>
      </c>
    </row>
    <row r="23">
      <c r="A23" s="33" t="inlineStr">
        <is>
          <t>Capacity</t>
        </is>
      </c>
      <c r="B23" s="33" t="inlineStr">
        <is>
          <t>10234</t>
        </is>
      </c>
      <c r="C23" s="33" t="inlineStr">
        <is>
          <t>10234</t>
        </is>
      </c>
      <c r="D23" s="33" t="inlineStr">
        <is>
          <t>LPM (614 m³/h)</t>
        </is>
      </c>
      <c r="E23" s="33" t="inlineStr">
        <is>
          <t>Duty point</t>
        </is>
      </c>
    </row>
    <row r="24">
      <c r="A24" s="33" t="inlineStr">
        <is>
          <t>Head</t>
        </is>
      </c>
      <c r="B24" s="33" t="inlineStr">
        <is>
          <t>116</t>
        </is>
      </c>
      <c r="C24" s="33" t="inlineStr">
        <is>
          <t>115.537</t>
        </is>
      </c>
      <c r="D24" s="33" t="inlineStr">
        <is>
          <t>m</t>
        </is>
      </c>
      <c r="E24" s="33" t="inlineStr">
        <is>
          <t>Bowl head / Pump head</t>
        </is>
      </c>
    </row>
    <row r="25">
      <c r="A25" s="33" t="inlineStr">
        <is>
          <t>Efficiency</t>
        </is>
      </c>
      <c r="B25" s="33" t="inlineStr">
        <is>
          <t>84.00%</t>
        </is>
      </c>
      <c r="C25" s="33" t="inlineStr">
        <is>
          <t>83.00%</t>
        </is>
      </c>
      <c r="D25" s="33" t="inlineStr">
        <is>
          <t>%</t>
        </is>
      </c>
      <c r="E25" s="33" t="inlineStr">
        <is>
          <t>Bowl / Pump efficiency</t>
        </is>
      </c>
    </row>
    <row r="26">
      <c r="A26" s="33" t="inlineStr">
        <is>
          <t>Input Power</t>
        </is>
      </c>
      <c r="B26" s="33" t="inlineStr">
        <is>
          <t>230.93</t>
        </is>
      </c>
      <c r="C26" s="33" t="inlineStr">
        <is>
          <t>231.68</t>
        </is>
      </c>
      <c r="D26" s="33" t="inlineStr">
        <is>
          <t>kW</t>
        </is>
      </c>
      <c r="E26" s="33" t="inlineStr">
        <is>
          <t>Bowl / Pump input power</t>
        </is>
      </c>
    </row>
    <row r="27">
      <c r="A27" s="33" t="inlineStr">
        <is>
          <t>Speed</t>
        </is>
      </c>
      <c r="B27" s="33" t="inlineStr">
        <is>
          <t>1480</t>
        </is>
      </c>
      <c r="C27" s="33" t="inlineStr">
        <is>
          <t>1480</t>
        </is>
      </c>
      <c r="D27" s="33" t="inlineStr">
        <is>
          <t>RPM</t>
        </is>
      </c>
      <c r="E27" s="33" t="inlineStr">
        <is>
          <t>Motor speed</t>
        </is>
      </c>
    </row>
    <row r="28">
      <c r="A28" s="33" t="inlineStr">
        <is>
          <t>Shutoff Head</t>
        </is>
      </c>
      <c r="B28" s="33" t="inlineStr">
        <is>
          <t>154.29</t>
        </is>
      </c>
      <c r="C28" s="33" t="inlineStr">
        <is>
          <t>—</t>
        </is>
      </c>
      <c r="D28" s="33" t="inlineStr">
        <is>
          <t>m</t>
        </is>
      </c>
      <c r="E28" s="33" t="inlineStr">
        <is>
          <t>133% of bowl head</t>
        </is>
      </c>
    </row>
    <row r="29">
      <c r="A29" s="33" t="inlineStr">
        <is>
          <t>Specific Speed</t>
        </is>
      </c>
      <c r="B29" s="33" t="inlineStr">
        <is>
          <t>2990.54</t>
        </is>
      </c>
      <c r="C29" s="33" t="inlineStr">
        <is>
          <t>—</t>
        </is>
      </c>
      <c r="D29" s="33" t="inlineStr">
        <is>
          <t>US Units</t>
        </is>
      </c>
      <c r="E29" s="33" t="n"/>
    </row>
    <row r="30" ht="25.5" customHeight="1" s="64">
      <c r="A30" s="33" t="inlineStr">
        <is>
          <t>Impeller Dia Rated</t>
        </is>
      </c>
      <c r="B30" s="33" t="inlineStr">
        <is>
          <t>ø326*</t>
        </is>
      </c>
      <c r="C30" s="33" t="inlineStr">
        <is>
          <t>—</t>
        </is>
      </c>
      <c r="D30" s="33" t="inlineStr">
        <is>
          <t>mm</t>
        </is>
      </c>
      <c r="E30" s="33" t="inlineStr">
        <is>
          <t>*Subject to final Jyoti performance data</t>
        </is>
      </c>
    </row>
    <row r="31">
      <c r="A31" s="33" t="inlineStr">
        <is>
          <t>Impeller Dia Max</t>
        </is>
      </c>
      <c r="B31" s="33" t="inlineStr">
        <is>
          <t>ø327</t>
        </is>
      </c>
      <c r="C31" s="33" t="inlineStr">
        <is>
          <t>—</t>
        </is>
      </c>
      <c r="D31" s="33" t="inlineStr">
        <is>
          <t>mm</t>
        </is>
      </c>
      <c r="E31" s="33" t="n"/>
    </row>
    <row r="32">
      <c r="A32" s="33" t="inlineStr">
        <is>
          <t>Impeller Dia Min</t>
        </is>
      </c>
      <c r="B32" s="33" t="inlineStr">
        <is>
          <t>ø308</t>
        </is>
      </c>
      <c r="C32" s="33" t="inlineStr">
        <is>
          <t>—</t>
        </is>
      </c>
      <c r="D32" s="33" t="inlineStr">
        <is>
          <t>mm</t>
        </is>
      </c>
      <c r="E32" s="33" t="n"/>
    </row>
    <row r="33">
      <c r="A33" s="33" t="inlineStr">
        <is>
          <t>GD² (Pump)</t>
        </is>
      </c>
      <c r="B33" s="33" t="inlineStr">
        <is>
          <t>4.25</t>
        </is>
      </c>
      <c r="C33" s="33" t="inlineStr">
        <is>
          <t>—</t>
        </is>
      </c>
      <c r="D33" s="33" t="inlineStr">
        <is>
          <t>kgm²</t>
        </is>
      </c>
      <c r="E33" s="33" t="n"/>
    </row>
    <row r="34">
      <c r="A34" s="33" t="inlineStr">
        <is>
          <t>Vibration Limit</t>
        </is>
      </c>
      <c r="B34" s="33" t="inlineStr">
        <is>
          <t>4.5</t>
        </is>
      </c>
      <c r="C34" s="33" t="inlineStr">
        <is>
          <t>—</t>
        </is>
      </c>
      <c r="D34" s="33" t="inlineStr">
        <is>
          <t>mm/s max</t>
        </is>
      </c>
      <c r="E34" s="33" t="n"/>
    </row>
    <row r="35">
      <c r="A35" s="33" t="inlineStr">
        <is>
          <t>Noise Limit</t>
        </is>
      </c>
      <c r="B35" s="33" t="inlineStr">
        <is>
          <t>85</t>
        </is>
      </c>
      <c r="C35" s="33" t="inlineStr">
        <is>
          <t>—</t>
        </is>
      </c>
      <c r="D35" s="33" t="inlineStr">
        <is>
          <t>dB @ 1.85m</t>
        </is>
      </c>
      <c r="E35" s="33" t="n"/>
    </row>
    <row r="36">
      <c r="A36" s="33" t="inlineStr">
        <is>
          <t>Pump Weight</t>
        </is>
      </c>
      <c r="B36" s="33" t="inlineStr">
        <is>
          <t>5280</t>
        </is>
      </c>
      <c r="C36" s="33" t="inlineStr">
        <is>
          <t>—</t>
        </is>
      </c>
      <c r="D36" s="33" t="inlineStr">
        <is>
          <t>kg</t>
        </is>
      </c>
      <c r="E36" s="33" t="inlineStr">
        <is>
          <t>Pump only</t>
        </is>
      </c>
    </row>
    <row r="37">
      <c r="A37" s="33" t="inlineStr">
        <is>
          <t>Motor Weight</t>
        </is>
      </c>
      <c r="B37" s="33" t="inlineStr">
        <is>
          <t>2800</t>
        </is>
      </c>
      <c r="C37" s="33" t="inlineStr">
        <is>
          <t>—</t>
        </is>
      </c>
      <c r="D37" s="33" t="inlineStr">
        <is>
          <t>kg</t>
        </is>
      </c>
      <c r="E37" s="33" t="inlineStr">
        <is>
          <t>Motor only</t>
        </is>
      </c>
    </row>
    <row r="39" ht="18" customHeight="1" s="64">
      <c r="A39" s="34" t="inlineStr">
        <is>
          <t>MATERIAL OF CONSTRUCTION</t>
        </is>
      </c>
    </row>
    <row r="40">
      <c r="A40" s="27" t="inlineStr">
        <is>
          <t>Component</t>
        </is>
      </c>
      <c r="B40" s="27" t="inlineStr">
        <is>
          <t>Material</t>
        </is>
      </c>
      <c r="C40" s="27" t="inlineStr">
        <is>
          <t>Standard / Spec</t>
        </is>
      </c>
      <c r="D40" s="27" t="inlineStr">
        <is>
          <t>Item No.</t>
        </is>
      </c>
    </row>
    <row r="41" ht="25.5" customHeight="1" s="64">
      <c r="A41" s="33" t="inlineStr">
        <is>
          <t>Bowl (Stage Casing) x5</t>
        </is>
      </c>
      <c r="B41" s="33" t="inlineStr">
        <is>
          <t>SG Iron (Spheroidal Graphite Iron)</t>
        </is>
      </c>
      <c r="C41" s="33" t="inlineStr">
        <is>
          <t>IS 1865</t>
        </is>
      </c>
      <c r="D41" s="33" t="inlineStr">
        <is>
          <t>Item 6</t>
        </is>
      </c>
    </row>
    <row r="42">
      <c r="A42" s="33" t="inlineStr">
        <is>
          <t>Top Bowl</t>
        </is>
      </c>
      <c r="B42" s="33" t="inlineStr">
        <is>
          <t>SG Iron</t>
        </is>
      </c>
      <c r="C42" s="33" t="inlineStr">
        <is>
          <t>IS 1865</t>
        </is>
      </c>
      <c r="D42" s="33" t="inlineStr">
        <is>
          <t>Item 8</t>
        </is>
      </c>
    </row>
    <row r="43">
      <c r="A43" s="33" t="inlineStr">
        <is>
          <t>Impeller (Closed) x5</t>
        </is>
      </c>
      <c r="B43" s="33" t="inlineStr">
        <is>
          <t>SS CF8M Stainless Steel</t>
        </is>
      </c>
      <c r="C43" s="33" t="inlineStr">
        <is>
          <t>ASTM A743</t>
        </is>
      </c>
      <c r="D43" s="33" t="inlineStr">
        <is>
          <t>Item 5</t>
        </is>
      </c>
    </row>
    <row r="44">
      <c r="A44" s="33" t="inlineStr">
        <is>
          <t>Impeller Wearing Ring x5</t>
        </is>
      </c>
      <c r="B44" s="33" t="inlineStr">
        <is>
          <t>Bronze LTB2</t>
        </is>
      </c>
      <c r="C44" s="33" t="inlineStr">
        <is>
          <t>IS 318 Gr LTB2</t>
        </is>
      </c>
      <c r="D44" s="33" t="inlineStr">
        <is>
          <t>Item 4</t>
        </is>
      </c>
    </row>
    <row r="45">
      <c r="A45" s="33" t="inlineStr">
        <is>
          <t>Impeller Shaft</t>
        </is>
      </c>
      <c r="B45" s="33" t="inlineStr">
        <is>
          <t>SS 410T</t>
        </is>
      </c>
      <c r="C45" s="33" t="inlineStr">
        <is>
          <t>ASTM A276</t>
        </is>
      </c>
      <c r="D45" s="33" t="inlineStr">
        <is>
          <t>Item 9</t>
        </is>
      </c>
    </row>
    <row r="46">
      <c r="A46" s="33" t="inlineStr">
        <is>
          <t>Line Shaft</t>
        </is>
      </c>
      <c r="B46" s="33" t="inlineStr">
        <is>
          <t>SS 410T</t>
        </is>
      </c>
      <c r="C46" s="33" t="inlineStr">
        <is>
          <t>ASTM A276</t>
        </is>
      </c>
      <c r="D46" s="33" t="inlineStr">
        <is>
          <t>Item 2</t>
        </is>
      </c>
    </row>
    <row r="47">
      <c r="A47" s="33" t="inlineStr">
        <is>
          <t>Head Shaft</t>
        </is>
      </c>
      <c r="B47" s="33" t="inlineStr">
        <is>
          <t>SS 410T</t>
        </is>
      </c>
      <c r="C47" s="33" t="inlineStr">
        <is>
          <t>ASTM A276</t>
        </is>
      </c>
      <c r="D47" s="33" t="inlineStr">
        <is>
          <t>Item 1"</t>
        </is>
      </c>
    </row>
    <row r="48">
      <c r="A48" s="33" t="inlineStr">
        <is>
          <t>Line Shaft Coupling</t>
        </is>
      </c>
      <c r="B48" s="33" t="inlineStr">
        <is>
          <t>SS 410T</t>
        </is>
      </c>
      <c r="C48" s="33" t="inlineStr">
        <is>
          <t>ASTM A276</t>
        </is>
      </c>
      <c r="D48" s="33" t="inlineStr">
        <is>
          <t>Item 7"</t>
        </is>
      </c>
    </row>
    <row r="49">
      <c r="A49" s="33" t="inlineStr">
        <is>
          <t>Head Shaft Coupling</t>
        </is>
      </c>
      <c r="B49" s="33" t="inlineStr">
        <is>
          <t>SS 410T</t>
        </is>
      </c>
      <c r="C49" s="33" t="inlineStr">
        <is>
          <t>ASTM A276</t>
        </is>
      </c>
      <c r="D49" s="33" t="inlineStr">
        <is>
          <t>Item 5"</t>
        </is>
      </c>
    </row>
    <row r="50">
      <c r="A50" s="33" t="inlineStr">
        <is>
          <t>Impeller Shaft Coupling</t>
        </is>
      </c>
      <c r="B50" s="33" t="inlineStr">
        <is>
          <t>SS 410T</t>
        </is>
      </c>
      <c r="C50" s="33" t="inlineStr">
        <is>
          <t>ASTM A276</t>
        </is>
      </c>
      <c r="D50" s="33" t="inlineStr">
        <is>
          <t>Item 11</t>
        </is>
      </c>
    </row>
    <row r="51">
      <c r="A51" s="33" t="inlineStr">
        <is>
          <t>Column Pipe (Ø300mm NB)</t>
        </is>
      </c>
      <c r="B51" s="33" t="inlineStr">
        <is>
          <t>ERW Steel Pipe</t>
        </is>
      </c>
      <c r="C51" s="33" t="inlineStr">
        <is>
          <t>IS 1239 / IS 3589</t>
        </is>
      </c>
      <c r="D51" s="33" t="inlineStr">
        <is>
          <t>Item 1"</t>
        </is>
      </c>
    </row>
    <row r="52">
      <c r="A52" s="33" t="inlineStr">
        <is>
          <t>Top Column Pipe</t>
        </is>
      </c>
      <c r="B52" s="33" t="inlineStr">
        <is>
          <t>CI FG 200</t>
        </is>
      </c>
      <c r="C52" s="33" t="inlineStr">
        <is>
          <t>IS 210</t>
        </is>
      </c>
      <c r="D52" s="33" t="inlineStr">
        <is>
          <t>Item 6"</t>
        </is>
      </c>
    </row>
    <row r="53">
      <c r="A53" s="33" t="inlineStr">
        <is>
          <t>Discharge Head Body</t>
        </is>
      </c>
      <c r="B53" s="33" t="inlineStr">
        <is>
          <t>CI FG 200</t>
        </is>
      </c>
      <c r="C53" s="33" t="inlineStr">
        <is>
          <t>IS 210</t>
        </is>
      </c>
      <c r="D53" s="33" t="inlineStr">
        <is>
          <t>Item 2"</t>
        </is>
      </c>
    </row>
    <row r="54">
      <c r="A54" s="33" t="inlineStr">
        <is>
          <t>Column Pipe Adaptor (CPA)</t>
        </is>
      </c>
      <c r="B54" s="33" t="inlineStr">
        <is>
          <t>CI FG 200</t>
        </is>
      </c>
      <c r="C54" s="33" t="inlineStr">
        <is>
          <t>IS 210</t>
        </is>
      </c>
      <c r="D54" s="33" t="inlineStr">
        <is>
          <t>Item 10</t>
        </is>
      </c>
    </row>
    <row r="55">
      <c r="A55" s="33" t="inlineStr">
        <is>
          <t>Bearing Holder</t>
        </is>
      </c>
      <c r="B55" s="33" t="inlineStr">
        <is>
          <t>CI FG 200</t>
        </is>
      </c>
      <c r="C55" s="33" t="inlineStr">
        <is>
          <t>IS 210</t>
        </is>
      </c>
      <c r="D55" s="33" t="inlineStr">
        <is>
          <t>Item 3"</t>
        </is>
      </c>
    </row>
    <row r="56" ht="25.5" customHeight="1" s="64">
      <c r="A56" s="33" t="inlineStr">
        <is>
          <t>Line Shaft Bearing</t>
        </is>
      </c>
      <c r="B56" s="33" t="inlineStr">
        <is>
          <t>Thordon Type (Water Lube)</t>
        </is>
      </c>
      <c r="C56" s="33" t="inlineStr">
        <is>
          <t>Thordon Proprietary</t>
        </is>
      </c>
      <c r="D56" s="33" t="inlineStr">
        <is>
          <t>Item 4"</t>
        </is>
      </c>
    </row>
    <row r="57">
      <c r="A57" s="33" t="inlineStr">
        <is>
          <t>Bush Bearing (Bowl)</t>
        </is>
      </c>
      <c r="B57" s="33" t="inlineStr">
        <is>
          <t>Bronze LTB2</t>
        </is>
      </c>
      <c r="C57" s="33" t="inlineStr">
        <is>
          <t>IS 318 Gr LTB2</t>
        </is>
      </c>
      <c r="D57" s="33" t="inlineStr">
        <is>
          <t>Item 7</t>
        </is>
      </c>
    </row>
    <row r="58">
      <c r="A58" s="33" t="inlineStr">
        <is>
          <t>Suction Case Bearing</t>
        </is>
      </c>
      <c r="B58" s="33" t="inlineStr">
        <is>
          <t>Bronze LTB2</t>
        </is>
      </c>
      <c r="C58" s="33" t="inlineStr">
        <is>
          <t>IS 318 Gr LTB2</t>
        </is>
      </c>
      <c r="D58" s="33" t="inlineStr">
        <is>
          <t>Item 3</t>
        </is>
      </c>
    </row>
    <row r="59">
      <c r="A59" s="33" t="inlineStr">
        <is>
          <t>Suction Case</t>
        </is>
      </c>
      <c r="B59" s="33" t="inlineStr">
        <is>
          <t>CI FG 200</t>
        </is>
      </c>
      <c r="C59" s="33" t="inlineStr">
        <is>
          <t>IS 210</t>
        </is>
      </c>
      <c r="D59" s="33" t="inlineStr">
        <is>
          <t>Item 2</t>
        </is>
      </c>
    </row>
    <row r="60">
      <c r="A60" s="33" t="inlineStr">
        <is>
          <t>Strainer</t>
        </is>
      </c>
      <c r="B60" s="33" t="inlineStr">
        <is>
          <t>MS Fabricated</t>
        </is>
      </c>
      <c r="C60" s="33" t="inlineStr">
        <is>
          <t>IS 2062</t>
        </is>
      </c>
      <c r="D60" s="33" t="inlineStr">
        <is>
          <t>Item 1</t>
        </is>
      </c>
    </row>
    <row r="61">
      <c r="A61" s="33" t="inlineStr">
        <is>
          <t>Stuffing Box</t>
        </is>
      </c>
      <c r="B61" s="33" t="inlineStr">
        <is>
          <t>CI FG 200</t>
        </is>
      </c>
      <c r="C61" s="33" t="inlineStr">
        <is>
          <t>IS 210</t>
        </is>
      </c>
      <c r="D61" s="33" t="inlineStr">
        <is>
          <t>Item 5"</t>
        </is>
      </c>
    </row>
    <row r="62">
      <c r="A62" s="33" t="inlineStr">
        <is>
          <t>Gland</t>
        </is>
      </c>
      <c r="B62" s="33" t="inlineStr">
        <is>
          <t>CI FG 200</t>
        </is>
      </c>
      <c r="C62" s="33" t="inlineStr">
        <is>
          <t>IS 210</t>
        </is>
      </c>
      <c r="D62" s="33" t="inlineStr">
        <is>
          <t>Item 3"</t>
        </is>
      </c>
    </row>
    <row r="63">
      <c r="A63" s="33" t="inlineStr">
        <is>
          <t>Gland Packing (Sealing)</t>
        </is>
      </c>
      <c r="B63" s="33" t="inlineStr">
        <is>
          <t>Standard Gland Packing</t>
        </is>
      </c>
      <c r="C63" s="33" t="inlineStr">
        <is>
          <t>Manufacturer Std</t>
        </is>
      </c>
      <c r="D63" s="33" t="inlineStr">
        <is>
          <t>Item 4"</t>
        </is>
      </c>
    </row>
    <row r="64">
      <c r="A64" s="33" t="inlineStr">
        <is>
          <t>Soleplate</t>
        </is>
      </c>
      <c r="B64" s="33" t="inlineStr">
        <is>
          <t>MS Fabricated</t>
        </is>
      </c>
      <c r="C64" s="33" t="inlineStr">
        <is>
          <t>IS 2062</t>
        </is>
      </c>
      <c r="D64" s="33" t="inlineStr">
        <is>
          <t>Item *</t>
        </is>
      </c>
    </row>
    <row r="65">
      <c r="A65" s="33" t="inlineStr">
        <is>
          <t>Motor Skirt</t>
        </is>
      </c>
      <c r="B65" s="33" t="inlineStr">
        <is>
          <t>MS Fabricated</t>
        </is>
      </c>
      <c r="C65" s="33" t="inlineStr">
        <is>
          <t>IS 2062</t>
        </is>
      </c>
      <c r="D65" s="33" t="inlineStr">
        <is>
          <t>Item 7"</t>
        </is>
      </c>
    </row>
    <row r="66">
      <c r="A66" s="33" t="inlineStr">
        <is>
          <t>Motor Coupling</t>
        </is>
      </c>
      <c r="B66" s="33" t="inlineStr">
        <is>
          <t>CI FG 200</t>
        </is>
      </c>
      <c r="C66" s="33" t="inlineStr">
        <is>
          <t>IS 210</t>
        </is>
      </c>
      <c r="D66" s="33" t="inlineStr">
        <is>
          <t>Item 9"</t>
        </is>
      </c>
    </row>
    <row r="67">
      <c r="A67" s="33" t="inlineStr">
        <is>
          <t>Pump Coupling</t>
        </is>
      </c>
      <c r="B67" s="33" t="inlineStr">
        <is>
          <t>CI FG 200</t>
        </is>
      </c>
      <c r="C67" s="33" t="inlineStr">
        <is>
          <t>IS 210</t>
        </is>
      </c>
      <c r="D67" s="33" t="inlineStr">
        <is>
          <t>Item 8"</t>
        </is>
      </c>
    </row>
    <row r="68">
      <c r="A68" s="33" t="inlineStr">
        <is>
          <t>Fasteners</t>
        </is>
      </c>
      <c r="B68" s="33" t="inlineStr">
        <is>
          <t>Standard</t>
        </is>
      </c>
      <c r="C68" s="33" t="inlineStr">
        <is>
          <t>STD</t>
        </is>
      </c>
      <c r="D68" s="33" t="inlineStr">
        <is>
          <t>—</t>
        </is>
      </c>
    </row>
    <row r="70" ht="18" customHeight="1" s="64">
      <c r="A70" s="34" t="inlineStr">
        <is>
          <t>WEIGHTS</t>
        </is>
      </c>
    </row>
    <row r="71">
      <c r="A71" s="27" t="inlineStr">
        <is>
          <t>Item</t>
        </is>
      </c>
      <c r="B71" s="27" t="inlineStr">
        <is>
          <t>Weight (kg)</t>
        </is>
      </c>
      <c r="C71" s="27" t="inlineStr">
        <is>
          <t>Notes</t>
        </is>
      </c>
    </row>
    <row r="72">
      <c r="A72" s="33" t="inlineStr">
        <is>
          <t>Pump (complete VTP assembly)</t>
        </is>
      </c>
      <c r="B72" s="33" t="inlineStr">
        <is>
          <t>5280</t>
        </is>
      </c>
      <c r="C72" s="33" t="inlineStr">
        <is>
          <t>From pump datasheet</t>
        </is>
      </c>
    </row>
    <row r="73">
      <c r="A73" s="33" t="inlineStr">
        <is>
          <t>Motor (Jyoti-supplied CUD315)</t>
        </is>
      </c>
      <c r="B73" s="33" t="inlineStr">
        <is>
          <t>2800</t>
        </is>
      </c>
      <c r="C73" s="33" t="inlineStr">
        <is>
          <t>From pump datasheet</t>
        </is>
      </c>
    </row>
    <row r="74">
      <c r="A74" s="33" t="inlineStr">
        <is>
          <t>TOTAL PACKAGE</t>
        </is>
      </c>
      <c r="B74" s="33" t="inlineStr">
        <is>
          <t>8080</t>
        </is>
      </c>
      <c r="C74" s="33" t="inlineStr">
        <is>
          <t>Pump 5280 + Motor 2800</t>
        </is>
      </c>
    </row>
    <row r="75" ht="25.5" customHeight="1" s="64">
      <c r="A75" s="33" t="inlineStr">
        <is>
          <t>Column Length</t>
        </is>
      </c>
      <c r="B75" s="33" t="inlineStr">
        <is>
          <t>19200 mm</t>
        </is>
      </c>
      <c r="C75" s="33" t="inlineStr">
        <is>
          <t>1500x12 + 1200x1; pump floor level 21.953m</t>
        </is>
      </c>
    </row>
    <row r="76" ht="25.5" customHeight="1" s="64">
      <c r="A76" s="33" t="inlineStr">
        <is>
          <t>Foundation Bolts</t>
        </is>
      </c>
      <c r="B76" s="33" t="inlineStr">
        <is>
          <t>4 Nos AM24 x 500mm</t>
        </is>
      </c>
      <c r="C76" s="33" t="inlineStr">
        <is>
          <t>NOT in Jyoti scope of supply</t>
        </is>
      </c>
    </row>
    <row r="78" ht="18" customHeight="1" s="64">
      <c r="A78" s="34" t="inlineStr">
        <is>
          <t>MOTOR DATA (JYOTI-SUPPLIED)</t>
        </is>
      </c>
    </row>
    <row r="79">
      <c r="A79" s="25" t="inlineStr">
        <is>
          <t>Motor Frame</t>
        </is>
      </c>
      <c r="B79" s="33" t="inlineStr">
        <is>
          <t>CUD315</t>
        </is>
      </c>
    </row>
    <row r="80">
      <c r="A80" s="25" t="inlineStr">
        <is>
          <t>Motor Type</t>
        </is>
      </c>
      <c r="B80" s="33" t="inlineStr">
        <is>
          <t>Solid Shaft</t>
        </is>
      </c>
    </row>
    <row r="81">
      <c r="A81" s="25" t="inlineStr">
        <is>
          <t>Rating</t>
        </is>
      </c>
      <c r="B81" s="33" t="inlineStr">
        <is>
          <t>315 kW / 425 hp</t>
        </is>
      </c>
    </row>
    <row r="82">
      <c r="A82" s="25" t="inlineStr">
        <is>
          <t>Poles / Speed</t>
        </is>
      </c>
      <c r="B82" s="33" t="inlineStr">
        <is>
          <t>4 Pole / 1480 RPM</t>
        </is>
      </c>
    </row>
    <row r="83">
      <c r="A83" s="25" t="inlineStr">
        <is>
          <t>Motor Weight</t>
        </is>
      </c>
      <c r="B83" s="33" t="inlineStr">
        <is>
          <t>2800 kg</t>
        </is>
      </c>
    </row>
    <row r="84">
      <c r="A84" s="25" t="inlineStr">
        <is>
          <t>Foundation Bolt</t>
        </is>
      </c>
      <c r="B84" s="33" t="inlineStr">
        <is>
          <t>4 Nos AM24 x 500mm (not in Jyoti scope)</t>
        </is>
      </c>
    </row>
    <row r="85">
      <c r="A85" s="25" t="inlineStr">
        <is>
          <t>Static Load at Foundation</t>
        </is>
      </c>
      <c r="B85" s="33" t="inlineStr">
        <is>
          <t>79.26 kN</t>
        </is>
      </c>
    </row>
    <row r="86">
      <c r="A86" s="25" t="inlineStr">
        <is>
          <t>Dynamic Load Horizontal @Duty</t>
        </is>
      </c>
      <c r="B86" s="33" t="inlineStr">
        <is>
          <t>13.05 kN</t>
        </is>
      </c>
    </row>
    <row r="87">
      <c r="A87" s="25" t="inlineStr">
        <is>
          <t>Dynamic Load Horizontal @Shutoff</t>
        </is>
      </c>
      <c r="B87" s="33" t="inlineStr">
        <is>
          <t>17.35 kN</t>
        </is>
      </c>
    </row>
    <row r="88">
      <c r="A88" s="25" t="inlineStr">
        <is>
          <t>Dynamic Load Vertical @Duty</t>
        </is>
      </c>
      <c r="B88" s="33" t="inlineStr">
        <is>
          <t>105.83 kN</t>
        </is>
      </c>
    </row>
    <row r="89">
      <c r="A89" s="25" t="inlineStr">
        <is>
          <t>Dynamic Load Vertical @Shutoff</t>
        </is>
      </c>
      <c r="B89" s="33" t="inlineStr">
        <is>
          <t>116.83 kN</t>
        </is>
      </c>
    </row>
    <row r="90">
      <c r="A90" s="25" t="inlineStr">
        <is>
          <t>Force at Discharge Nozzle Fx/Fy/Fz</t>
        </is>
      </c>
      <c r="B90" s="33" t="inlineStr">
        <is>
          <t>76.34 kN / 152.68 kN / 76.34 kN</t>
        </is>
      </c>
    </row>
    <row r="91">
      <c r="A91" s="25" t="inlineStr">
        <is>
          <t>Moment at Discharge Nozzle Mx/My/Mz</t>
        </is>
      </c>
      <c r="B91" s="33" t="inlineStr">
        <is>
          <t>22.9 kN.m / 48.86 kN.m / 22.9 kN.m</t>
        </is>
      </c>
    </row>
    <row r="93" ht="18" customHeight="1" s="64">
      <c r="A93" s="34" t="inlineStr">
        <is>
          <t>SUMP / INSTALLATION DETAILS</t>
        </is>
      </c>
    </row>
    <row r="94">
      <c r="A94" s="25" t="inlineStr">
        <is>
          <t>Sump Floor Level</t>
        </is>
      </c>
      <c r="B94" s="33" t="inlineStr">
        <is>
          <t>0 m (datum)</t>
        </is>
      </c>
    </row>
    <row r="95">
      <c r="A95" s="25" t="inlineStr">
        <is>
          <t>Min Water Level</t>
        </is>
      </c>
      <c r="B95" s="33" t="inlineStr">
        <is>
          <t>2.593 m above sump floor</t>
        </is>
      </c>
    </row>
    <row r="96">
      <c r="A96" s="25" t="inlineStr">
        <is>
          <t>Min Submergence Level</t>
        </is>
      </c>
      <c r="B96" s="33" t="inlineStr">
        <is>
          <t>2.093 m above sump floor</t>
        </is>
      </c>
    </row>
    <row r="97">
      <c r="A97" s="25" t="inlineStr">
        <is>
          <t>Pump Floor Level</t>
        </is>
      </c>
      <c r="B97" s="33" t="inlineStr">
        <is>
          <t>21.953 m</t>
        </is>
      </c>
    </row>
    <row r="98">
      <c r="A98" s="25" t="inlineStr">
        <is>
          <t>Side Wall Clearance</t>
        </is>
      </c>
      <c r="B98" s="33" t="inlineStr">
        <is>
          <t>385 mm</t>
        </is>
      </c>
    </row>
    <row r="99">
      <c r="A99" s="25" t="inlineStr">
        <is>
          <t>Back Wall Clearance</t>
        </is>
      </c>
      <c r="B99" s="33" t="inlineStr">
        <is>
          <t>288.75 mm</t>
        </is>
      </c>
    </row>
    <row r="100">
      <c r="A100" s="25" t="inlineStr">
        <is>
          <t>Bowl Diameter</t>
        </is>
      </c>
      <c r="B100" s="33" t="inlineStr">
        <is>
          <t>ø396 mm (submerged bowl)</t>
        </is>
      </c>
    </row>
    <row r="101">
      <c r="A101" s="25" t="inlineStr">
        <is>
          <t>Discharge Flange OD / ID / PCD</t>
        </is>
      </c>
      <c r="B101" s="33" t="inlineStr">
        <is>
          <t>ø457 / ø300 / ø406.4 mm; 12 Holes M20; Sq. 500mm port opening</t>
        </is>
      </c>
    </row>
  </sheetData>
  <mergeCells count="44">
    <mergeCell ref="B97:L97"/>
    <mergeCell ref="B91:L91"/>
    <mergeCell ref="B16:L16"/>
    <mergeCell ref="B100:L100"/>
    <mergeCell ref="B7:L7"/>
    <mergeCell ref="B90:L90"/>
    <mergeCell ref="A4:M4"/>
    <mergeCell ref="B81:L81"/>
    <mergeCell ref="B18:L18"/>
    <mergeCell ref="B12:L12"/>
    <mergeCell ref="B96:L96"/>
    <mergeCell ref="A93:M93"/>
    <mergeCell ref="B86:L86"/>
    <mergeCell ref="B11:L11"/>
    <mergeCell ref="A39:M39"/>
    <mergeCell ref="B101:L101"/>
    <mergeCell ref="B98:L98"/>
    <mergeCell ref="B14:L14"/>
    <mergeCell ref="B17:L17"/>
    <mergeCell ref="B8:L8"/>
    <mergeCell ref="B88:L88"/>
    <mergeCell ref="A1:M1"/>
    <mergeCell ref="B13:L13"/>
    <mergeCell ref="B82:L82"/>
    <mergeCell ref="B87:L87"/>
    <mergeCell ref="A70:M70"/>
    <mergeCell ref="B19:L19"/>
    <mergeCell ref="A78:M78"/>
    <mergeCell ref="B10:L10"/>
    <mergeCell ref="B99:L99"/>
    <mergeCell ref="B84:L84"/>
    <mergeCell ref="B9:L9"/>
    <mergeCell ref="B83:L83"/>
    <mergeCell ref="B6:L6"/>
    <mergeCell ref="B15:L15"/>
    <mergeCell ref="B5:L5"/>
    <mergeCell ref="B80:L80"/>
    <mergeCell ref="B95:L95"/>
    <mergeCell ref="A21:M21"/>
    <mergeCell ref="B89:L89"/>
    <mergeCell ref="B85:L85"/>
    <mergeCell ref="B94:L94"/>
    <mergeCell ref="A2:M2"/>
    <mergeCell ref="B79:L7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1"/>
  <sheetViews>
    <sheetView topLeftCell="A79" workbookViewId="0">
      <selection activeCell="B101" sqref="B101"/>
    </sheetView>
  </sheetViews>
  <sheetFormatPr baseColWidth="8" defaultRowHeight="15"/>
  <cols>
    <col width="28" customWidth="1" style="64" min="1" max="1"/>
    <col width="22" customWidth="1" style="64" min="2" max="3"/>
    <col width="18" customWidth="1" style="64" min="4" max="4"/>
    <col width="30" customWidth="1" style="64" min="5" max="5"/>
    <col width="10" customWidth="1" style="64" min="6" max="13"/>
  </cols>
  <sheetData>
    <row r="1" ht="24" customHeight="1" s="64">
      <c r="A1" s="35" t="inlineStr">
        <is>
          <t>DISSECTION SUMMARY — JYOTI 350TE1A4 (7-STAGE VERTICAL TURBINE PUMP)</t>
        </is>
      </c>
    </row>
    <row r="2">
      <c r="A2" s="36" t="inlineStr">
        <is>
          <t>Project: MP Jal Nigam Pawai | Customer: Zetwerk Manufacturing | Report: SP-PT25-P31722/1 Rev R0 | Date: 30-06-2025 | Drawing: GA/CS-2021</t>
        </is>
      </c>
    </row>
    <row r="4" ht="18" customHeight="1" s="64">
      <c r="A4" s="34" t="inlineStr">
        <is>
          <t>PUMP IDENTITY</t>
        </is>
      </c>
    </row>
    <row r="5">
      <c r="A5" s="25" t="inlineStr">
        <is>
          <t>Pump Model</t>
        </is>
      </c>
      <c r="B5" s="33" t="inlineStr">
        <is>
          <t>Jyoti 350TE1A4</t>
        </is>
      </c>
    </row>
    <row r="6">
      <c r="A6" s="25" t="inlineStr">
        <is>
          <t>Manufacturer</t>
        </is>
      </c>
      <c r="B6" s="33" t="inlineStr">
        <is>
          <t>Jyoti Ltd, Vadodara, Gujarat</t>
        </is>
      </c>
    </row>
    <row r="7">
      <c r="A7" s="25" t="inlineStr">
        <is>
          <t>Report No.</t>
        </is>
      </c>
      <c r="B7" s="33" t="inlineStr">
        <is>
          <t>SP-PT25-P31722/1</t>
        </is>
      </c>
    </row>
    <row r="8">
      <c r="A8" s="25" t="inlineStr">
        <is>
          <t>Sale Note No.</t>
        </is>
      </c>
      <c r="B8" s="33" t="inlineStr">
        <is>
          <t>P31722/1</t>
        </is>
      </c>
    </row>
    <row r="9">
      <c r="A9" s="25" t="inlineStr">
        <is>
          <t>Service</t>
        </is>
      </c>
      <c r="B9" s="33" t="inlineStr">
        <is>
          <t>Water Supply — MP Jal Nigam Pawai Project</t>
        </is>
      </c>
    </row>
    <row r="10">
      <c r="A10" s="25" t="inlineStr">
        <is>
          <t>Customer</t>
        </is>
      </c>
      <c r="B10" s="33" t="inlineStr">
        <is>
          <t>Zetwerk Manufacturing Businesses Pvt Ltd</t>
        </is>
      </c>
    </row>
    <row r="11">
      <c r="A11" s="25" t="inlineStr">
        <is>
          <t>Quantity</t>
        </is>
      </c>
      <c r="B11" s="33" t="inlineStr">
        <is>
          <t>2 Nos.</t>
        </is>
      </c>
    </row>
    <row r="12">
      <c r="A12" s="25" t="inlineStr">
        <is>
          <t>Pump Type</t>
        </is>
      </c>
      <c r="B12" s="33" t="inlineStr">
        <is>
          <t>Vertical Turbine Pump (VTP)</t>
        </is>
      </c>
    </row>
    <row r="13">
      <c r="A13" s="25" t="inlineStr">
        <is>
          <t>No. of Stages</t>
        </is>
      </c>
      <c r="B13" s="33" t="inlineStr">
        <is>
          <t>7</t>
        </is>
      </c>
    </row>
    <row r="14">
      <c r="A14" s="25" t="inlineStr">
        <is>
          <t>Discharge Type</t>
        </is>
      </c>
      <c r="B14" s="33" t="inlineStr">
        <is>
          <t>Above Floor</t>
        </is>
      </c>
    </row>
    <row r="15">
      <c r="A15" s="25" t="inlineStr">
        <is>
          <t>Column Assembly Size</t>
        </is>
      </c>
      <c r="B15" s="33" t="inlineStr">
        <is>
          <t>200 x 50 mm (Column Pipe Ø200mm NB / Line Shaft Ø50mm NB)</t>
        </is>
      </c>
    </row>
    <row r="16">
      <c r="A16" s="25" t="inlineStr">
        <is>
          <t>Discharge Assembly Size</t>
        </is>
      </c>
      <c r="B16" s="33" t="inlineStr">
        <is>
          <t>DS-200</t>
        </is>
      </c>
    </row>
    <row r="17">
      <c r="A17" s="25" t="inlineStr">
        <is>
          <t>Lubrication</t>
        </is>
      </c>
      <c r="B17" s="33" t="inlineStr">
        <is>
          <t>Self Water (water-lubricated line shaft bearings)</t>
        </is>
      </c>
    </row>
    <row r="18">
      <c r="A18" s="25" t="inlineStr">
        <is>
          <t>Fluid</t>
        </is>
      </c>
      <c r="B18" s="33" t="inlineStr">
        <is>
          <t>Water | SG=1</t>
        </is>
      </c>
    </row>
    <row r="19">
      <c r="A19" s="25" t="inlineStr">
        <is>
          <t>Sealing Type</t>
        </is>
      </c>
      <c r="B19" s="33" t="inlineStr">
        <is>
          <t>Gland Packing (Standard)</t>
        </is>
      </c>
    </row>
    <row r="20">
      <c r="A20" s="25" t="inlineStr">
        <is>
          <t>Comparison</t>
        </is>
      </c>
      <c r="B20" s="33" t="inlineStr">
        <is>
          <t>Same project as 400TE3D4 but smaller duty — half the flow</t>
        </is>
      </c>
    </row>
    <row r="22" ht="18" customHeight="1" s="64">
      <c r="A22" s="34" t="inlineStr">
        <is>
          <t>PUMP PERFORMANCE (DUTY POINT)</t>
        </is>
      </c>
    </row>
    <row r="23">
      <c r="A23" s="27" t="inlineStr">
        <is>
          <t>Parameter</t>
        </is>
      </c>
      <c r="B23" s="27" t="inlineStr">
        <is>
          <t>Bowl Value</t>
        </is>
      </c>
      <c r="C23" s="27" t="inlineStr">
        <is>
          <t>Pump Value</t>
        </is>
      </c>
      <c r="D23" s="27" t="inlineStr">
        <is>
          <t>Units</t>
        </is>
      </c>
      <c r="E23" s="27" t="inlineStr">
        <is>
          <t>Notes</t>
        </is>
      </c>
    </row>
    <row r="24">
      <c r="A24" s="33" t="inlineStr">
        <is>
          <t>Capacity</t>
        </is>
      </c>
      <c r="B24" s="33" t="inlineStr">
        <is>
          <t>5117</t>
        </is>
      </c>
      <c r="C24" s="33" t="inlineStr">
        <is>
          <t>5117</t>
        </is>
      </c>
      <c r="D24" s="33" t="inlineStr">
        <is>
          <t>LPM (307 m³/h)</t>
        </is>
      </c>
      <c r="E24" s="33" t="inlineStr">
        <is>
          <t>Duty point</t>
        </is>
      </c>
    </row>
    <row r="25">
      <c r="A25" s="33" t="inlineStr">
        <is>
          <t>Head</t>
        </is>
      </c>
      <c r="B25" s="33" t="inlineStr">
        <is>
          <t>116</t>
        </is>
      </c>
      <c r="C25" s="33" t="inlineStr">
        <is>
          <t>115.049</t>
        </is>
      </c>
      <c r="D25" s="33" t="inlineStr">
        <is>
          <t>m</t>
        </is>
      </c>
      <c r="E25" s="33" t="inlineStr">
        <is>
          <t>Bowl head / Pump head</t>
        </is>
      </c>
    </row>
    <row r="26">
      <c r="A26" s="33" t="inlineStr">
        <is>
          <t>Efficiency</t>
        </is>
      </c>
      <c r="B26" s="33" t="inlineStr">
        <is>
          <t>81.00%</t>
        </is>
      </c>
      <c r="C26" s="33" t="inlineStr">
        <is>
          <t>80.00%</t>
        </is>
      </c>
      <c r="D26" s="33" t="inlineStr">
        <is>
          <t>%</t>
        </is>
      </c>
      <c r="E26" s="33" t="inlineStr">
        <is>
          <t>Bowl / Pump efficiency</t>
        </is>
      </c>
    </row>
    <row r="27">
      <c r="A27" s="33" t="inlineStr">
        <is>
          <t>Input Power</t>
        </is>
      </c>
      <c r="B27" s="33" t="inlineStr">
        <is>
          <t>119.74</t>
        </is>
      </c>
      <c r="C27" s="33" t="inlineStr">
        <is>
          <t>120.49</t>
        </is>
      </c>
      <c r="D27" s="33" t="inlineStr">
        <is>
          <t>kW</t>
        </is>
      </c>
      <c r="E27" s="33" t="inlineStr">
        <is>
          <t>Bowl / Pump input power</t>
        </is>
      </c>
    </row>
    <row r="28">
      <c r="A28" s="33" t="inlineStr">
        <is>
          <t>Speed</t>
        </is>
      </c>
      <c r="B28" s="33" t="inlineStr">
        <is>
          <t>1480</t>
        </is>
      </c>
      <c r="C28" s="33" t="inlineStr">
        <is>
          <t>1480</t>
        </is>
      </c>
      <c r="D28" s="33" t="inlineStr">
        <is>
          <t>RPM</t>
        </is>
      </c>
      <c r="E28" s="33" t="inlineStr">
        <is>
          <t>Motor speed</t>
        </is>
      </c>
    </row>
    <row r="29">
      <c r="A29" s="33" t="inlineStr">
        <is>
          <t>Shutoff Head</t>
        </is>
      </c>
      <c r="B29" s="33" t="inlineStr">
        <is>
          <t>177.8</t>
        </is>
      </c>
      <c r="C29" s="33" t="inlineStr">
        <is>
          <t>—</t>
        </is>
      </c>
      <c r="D29" s="33" t="inlineStr">
        <is>
          <t>m</t>
        </is>
      </c>
      <c r="E29" s="33" t="inlineStr">
        <is>
          <t>153% of bowl head</t>
        </is>
      </c>
    </row>
    <row r="30">
      <c r="A30" s="33" t="inlineStr">
        <is>
          <t>Specific Speed</t>
        </is>
      </c>
      <c r="B30" s="33" t="inlineStr">
        <is>
          <t>2713.69</t>
        </is>
      </c>
      <c r="C30" s="33" t="inlineStr">
        <is>
          <t>—</t>
        </is>
      </c>
      <c r="D30" s="33" t="inlineStr">
        <is>
          <t>US Units</t>
        </is>
      </c>
      <c r="E30" s="33" t="n"/>
    </row>
    <row r="31" ht="25.5" customHeight="1" s="64">
      <c r="A31" s="33" t="inlineStr">
        <is>
          <t>Impeller Dia Rated</t>
        </is>
      </c>
      <c r="B31" s="33" t="inlineStr">
        <is>
          <t>ø279.9*</t>
        </is>
      </c>
      <c r="C31" s="33" t="inlineStr">
        <is>
          <t>—</t>
        </is>
      </c>
      <c r="D31" s="33" t="inlineStr">
        <is>
          <t>mm</t>
        </is>
      </c>
      <c r="E31" s="33" t="inlineStr">
        <is>
          <t>*Subject to final Jyoti performance data</t>
        </is>
      </c>
    </row>
    <row r="32">
      <c r="A32" s="33" t="inlineStr">
        <is>
          <t>Impeller Dia Max</t>
        </is>
      </c>
      <c r="B32" s="33" t="inlineStr">
        <is>
          <t>ø286</t>
        </is>
      </c>
      <c r="C32" s="33" t="inlineStr">
        <is>
          <t>—</t>
        </is>
      </c>
      <c r="D32" s="33" t="inlineStr">
        <is>
          <t>mm</t>
        </is>
      </c>
      <c r="E32" s="33" t="n"/>
    </row>
    <row r="33">
      <c r="A33" s="33" t="inlineStr">
        <is>
          <t>Impeller Dia Min</t>
        </is>
      </c>
      <c r="B33" s="33" t="inlineStr">
        <is>
          <t>ø256</t>
        </is>
      </c>
      <c r="C33" s="33" t="inlineStr">
        <is>
          <t>—</t>
        </is>
      </c>
      <c r="D33" s="33" t="inlineStr">
        <is>
          <t>mm</t>
        </is>
      </c>
      <c r="E33" s="33" t="n"/>
    </row>
    <row r="34">
      <c r="A34" s="33" t="inlineStr">
        <is>
          <t>GD² (Pump)</t>
        </is>
      </c>
      <c r="B34" s="33" t="inlineStr">
        <is>
          <t>1.015</t>
        </is>
      </c>
      <c r="C34" s="33" t="inlineStr">
        <is>
          <t>—</t>
        </is>
      </c>
      <c r="D34" s="33" t="inlineStr">
        <is>
          <t>kgm²</t>
        </is>
      </c>
      <c r="E34" s="33" t="n"/>
    </row>
    <row r="35">
      <c r="A35" s="33" t="inlineStr">
        <is>
          <t>Vibration Limit</t>
        </is>
      </c>
      <c r="B35" s="33" t="inlineStr">
        <is>
          <t>4.5</t>
        </is>
      </c>
      <c r="C35" s="33" t="inlineStr">
        <is>
          <t>—</t>
        </is>
      </c>
      <c r="D35" s="33" t="inlineStr">
        <is>
          <t>mm/s max</t>
        </is>
      </c>
      <c r="E35" s="33" t="n"/>
    </row>
    <row r="36">
      <c r="A36" s="33" t="inlineStr">
        <is>
          <t>Noise Limit</t>
        </is>
      </c>
      <c r="B36" s="33" t="inlineStr">
        <is>
          <t>85</t>
        </is>
      </c>
      <c r="C36" s="33" t="inlineStr">
        <is>
          <t>—</t>
        </is>
      </c>
      <c r="D36" s="33" t="inlineStr">
        <is>
          <t>dB @ 1.85m</t>
        </is>
      </c>
      <c r="E36" s="33" t="n"/>
    </row>
    <row r="37">
      <c r="A37" s="33" t="inlineStr">
        <is>
          <t>Pump Weight</t>
        </is>
      </c>
      <c r="B37" s="33" t="inlineStr">
        <is>
          <t>3350</t>
        </is>
      </c>
      <c r="C37" s="33" t="inlineStr">
        <is>
          <t>—</t>
        </is>
      </c>
      <c r="D37" s="33" t="inlineStr">
        <is>
          <t>kg</t>
        </is>
      </c>
      <c r="E37" s="33" t="inlineStr">
        <is>
          <t>Pump only</t>
        </is>
      </c>
    </row>
    <row r="38">
      <c r="A38" s="33" t="inlineStr">
        <is>
          <t>Motor Weight</t>
        </is>
      </c>
      <c r="B38" s="33" t="inlineStr">
        <is>
          <t>1350</t>
        </is>
      </c>
      <c r="C38" s="33" t="inlineStr">
        <is>
          <t>—</t>
        </is>
      </c>
      <c r="D38" s="33" t="inlineStr">
        <is>
          <t>kg</t>
        </is>
      </c>
      <c r="E38" s="33" t="inlineStr">
        <is>
          <t>Motor only</t>
        </is>
      </c>
    </row>
    <row r="40" ht="18" customHeight="1" s="64">
      <c r="A40" s="34" t="inlineStr">
        <is>
          <t>MATERIAL OF CONSTRUCTION</t>
        </is>
      </c>
    </row>
    <row r="41">
      <c r="A41" s="27" t="inlineStr">
        <is>
          <t>Component</t>
        </is>
      </c>
      <c r="B41" s="27" t="inlineStr">
        <is>
          <t>Material</t>
        </is>
      </c>
      <c r="C41" s="27" t="inlineStr">
        <is>
          <t>Standard / Spec</t>
        </is>
      </c>
      <c r="D41" s="27" t="inlineStr">
        <is>
          <t>Item No.</t>
        </is>
      </c>
    </row>
    <row r="42">
      <c r="A42" s="33" t="inlineStr">
        <is>
          <t>Bowl (Stage Casing) x7</t>
        </is>
      </c>
      <c r="B42" s="33" t="inlineStr">
        <is>
          <t>SG Iron</t>
        </is>
      </c>
      <c r="C42" s="33" t="inlineStr">
        <is>
          <t>IS 1865</t>
        </is>
      </c>
      <c r="D42" s="33" t="inlineStr">
        <is>
          <t>Item 6</t>
        </is>
      </c>
    </row>
    <row r="43">
      <c r="A43" s="33" t="inlineStr">
        <is>
          <t>Top Bowl</t>
        </is>
      </c>
      <c r="B43" s="33" t="inlineStr">
        <is>
          <t>SG Iron</t>
        </is>
      </c>
      <c r="C43" s="33" t="inlineStr">
        <is>
          <t>IS 1865</t>
        </is>
      </c>
      <c r="D43" s="33" t="inlineStr">
        <is>
          <t>Item 8</t>
        </is>
      </c>
    </row>
    <row r="44">
      <c r="A44" s="33" t="inlineStr">
        <is>
          <t>Impeller (Closed) x7</t>
        </is>
      </c>
      <c r="B44" s="33" t="inlineStr">
        <is>
          <t>SS CF8M</t>
        </is>
      </c>
      <c r="C44" s="33" t="inlineStr">
        <is>
          <t>ASTM A743</t>
        </is>
      </c>
      <c r="D44" s="33" t="inlineStr">
        <is>
          <t>Item 5</t>
        </is>
      </c>
    </row>
    <row r="45">
      <c r="A45" s="33" t="inlineStr">
        <is>
          <t>Impeller Wearing Ring x7</t>
        </is>
      </c>
      <c r="B45" s="33" t="inlineStr">
        <is>
          <t>Bronze LTB2</t>
        </is>
      </c>
      <c r="C45" s="33" t="inlineStr">
        <is>
          <t>IS 318 Gr LTB2</t>
        </is>
      </c>
      <c r="D45" s="33" t="inlineStr">
        <is>
          <t>Item 4</t>
        </is>
      </c>
    </row>
    <row r="46">
      <c r="A46" s="33" t="inlineStr">
        <is>
          <t>Impeller Shaft</t>
        </is>
      </c>
      <c r="B46" s="33" t="inlineStr">
        <is>
          <t>SS 410T</t>
        </is>
      </c>
      <c r="C46" s="33" t="inlineStr">
        <is>
          <t>ASTM A276</t>
        </is>
      </c>
      <c r="D46" s="33" t="inlineStr">
        <is>
          <t>Item 9</t>
        </is>
      </c>
    </row>
    <row r="47">
      <c r="A47" s="33" t="inlineStr">
        <is>
          <t>Line Shaft (Ø50mm NB)</t>
        </is>
      </c>
      <c r="B47" s="33" t="inlineStr">
        <is>
          <t>SS 410T</t>
        </is>
      </c>
      <c r="C47" s="33" t="inlineStr">
        <is>
          <t>ASTM A276</t>
        </is>
      </c>
      <c r="D47" s="33" t="inlineStr">
        <is>
          <t>Item 2"</t>
        </is>
      </c>
    </row>
    <row r="48">
      <c r="A48" s="33" t="inlineStr">
        <is>
          <t>Head Shaft</t>
        </is>
      </c>
      <c r="B48" s="33" t="inlineStr">
        <is>
          <t>SS 410T</t>
        </is>
      </c>
      <c r="C48" s="33" t="inlineStr">
        <is>
          <t>ASTM A276</t>
        </is>
      </c>
      <c r="D48" s="33" t="inlineStr">
        <is>
          <t>Item 1"</t>
        </is>
      </c>
    </row>
    <row r="49">
      <c r="A49" s="33" t="inlineStr">
        <is>
          <t>Line Shaft Coupling</t>
        </is>
      </c>
      <c r="B49" s="33" t="inlineStr">
        <is>
          <t>SS 410T</t>
        </is>
      </c>
      <c r="C49" s="33" t="inlineStr">
        <is>
          <t>ASTM A276</t>
        </is>
      </c>
      <c r="D49" s="33" t="inlineStr">
        <is>
          <t>Item 7"</t>
        </is>
      </c>
    </row>
    <row r="50">
      <c r="A50" s="33" t="inlineStr">
        <is>
          <t>Column Pipe (Ø200mm NB)</t>
        </is>
      </c>
      <c r="B50" s="33" t="inlineStr">
        <is>
          <t>ERW Steel Pipe</t>
        </is>
      </c>
      <c r="C50" s="33" t="inlineStr">
        <is>
          <t>IS 1239 / IS 3589</t>
        </is>
      </c>
      <c r="D50" s="33" t="inlineStr">
        <is>
          <t>Item 1"</t>
        </is>
      </c>
    </row>
    <row r="51">
      <c r="A51" s="33" t="inlineStr">
        <is>
          <t>Top Column Pipe</t>
        </is>
      </c>
      <c r="B51" s="33" t="inlineStr">
        <is>
          <t>CI FG 200</t>
        </is>
      </c>
      <c r="C51" s="33" t="inlineStr">
        <is>
          <t>IS 210</t>
        </is>
      </c>
      <c r="D51" s="33" t="inlineStr">
        <is>
          <t>Item 6"</t>
        </is>
      </c>
    </row>
    <row r="52">
      <c r="A52" s="33" t="inlineStr">
        <is>
          <t>Discharge Head Body</t>
        </is>
      </c>
      <c r="B52" s="33" t="inlineStr">
        <is>
          <t>CI FG 200</t>
        </is>
      </c>
      <c r="C52" s="33" t="inlineStr">
        <is>
          <t>IS 210</t>
        </is>
      </c>
      <c r="D52" s="33" t="inlineStr">
        <is>
          <t>Item 2"</t>
        </is>
      </c>
    </row>
    <row r="53">
      <c r="A53" s="33" t="inlineStr">
        <is>
          <t>Column Pipe Adaptor (CPA)</t>
        </is>
      </c>
      <c r="B53" s="33" t="inlineStr">
        <is>
          <t>CI FG 200</t>
        </is>
      </c>
      <c r="C53" s="33" t="inlineStr">
        <is>
          <t>IS 210</t>
        </is>
      </c>
      <c r="D53" s="33" t="inlineStr">
        <is>
          <t>Item 10</t>
        </is>
      </c>
    </row>
    <row r="54">
      <c r="A54" s="33" t="inlineStr">
        <is>
          <t>Bearing Holder</t>
        </is>
      </c>
      <c r="B54" s="33" t="inlineStr">
        <is>
          <t>CI FG 200</t>
        </is>
      </c>
      <c r="C54" s="33" t="inlineStr">
        <is>
          <t>IS 210</t>
        </is>
      </c>
      <c r="D54" s="33" t="inlineStr">
        <is>
          <t>Item 3"</t>
        </is>
      </c>
    </row>
    <row r="55">
      <c r="A55" s="33" t="inlineStr">
        <is>
          <t>Line Shaft Bearing</t>
        </is>
      </c>
      <c r="B55" s="33" t="inlineStr">
        <is>
          <t>Thordon Type</t>
        </is>
      </c>
      <c r="C55" s="33" t="inlineStr">
        <is>
          <t>Thordon Proprietary</t>
        </is>
      </c>
      <c r="D55" s="33" t="inlineStr">
        <is>
          <t>Item 4"</t>
        </is>
      </c>
    </row>
    <row r="56">
      <c r="A56" s="33" t="inlineStr">
        <is>
          <t>Bush Bearing (Bowl)</t>
        </is>
      </c>
      <c r="B56" s="33" t="inlineStr">
        <is>
          <t>Bronze LTB2</t>
        </is>
      </c>
      <c r="C56" s="33" t="inlineStr">
        <is>
          <t>IS 318 Gr LTB2</t>
        </is>
      </c>
      <c r="D56" s="33" t="inlineStr">
        <is>
          <t>Item 7</t>
        </is>
      </c>
    </row>
    <row r="57">
      <c r="A57" s="33" t="inlineStr">
        <is>
          <t>Suction Case Bearing</t>
        </is>
      </c>
      <c r="B57" s="33" t="inlineStr">
        <is>
          <t>Bronze LTB2</t>
        </is>
      </c>
      <c r="C57" s="33" t="inlineStr">
        <is>
          <t>IS 318 Gr LTB2</t>
        </is>
      </c>
      <c r="D57" s="33" t="inlineStr">
        <is>
          <t>Item 3</t>
        </is>
      </c>
    </row>
    <row r="58">
      <c r="A58" s="33" t="inlineStr">
        <is>
          <t>Suction Case</t>
        </is>
      </c>
      <c r="B58" s="33" t="inlineStr">
        <is>
          <t>CI FG 200</t>
        </is>
      </c>
      <c r="C58" s="33" t="inlineStr">
        <is>
          <t>IS 210</t>
        </is>
      </c>
      <c r="D58" s="33" t="inlineStr">
        <is>
          <t>Item 2</t>
        </is>
      </c>
    </row>
    <row r="59">
      <c r="A59" s="33" t="inlineStr">
        <is>
          <t>Strainer</t>
        </is>
      </c>
      <c r="B59" s="33" t="inlineStr">
        <is>
          <t>MS Fabricated</t>
        </is>
      </c>
      <c r="C59" s="33" t="inlineStr">
        <is>
          <t>IS 2062</t>
        </is>
      </c>
      <c r="D59" s="33" t="inlineStr">
        <is>
          <t>Item 1</t>
        </is>
      </c>
    </row>
    <row r="60">
      <c r="A60" s="33" t="inlineStr">
        <is>
          <t>Stuffing Box + Gland</t>
        </is>
      </c>
      <c r="B60" s="33" t="inlineStr">
        <is>
          <t>CI FG 200</t>
        </is>
      </c>
      <c r="C60" s="33" t="inlineStr">
        <is>
          <t>IS 210</t>
        </is>
      </c>
      <c r="D60" s="33" t="inlineStr">
        <is>
          <t>Items 5", 3"</t>
        </is>
      </c>
    </row>
    <row r="61">
      <c r="A61" s="33" t="inlineStr">
        <is>
          <t>Gland Packing</t>
        </is>
      </c>
      <c r="B61" s="33" t="inlineStr">
        <is>
          <t>Standard Gland Packing</t>
        </is>
      </c>
      <c r="C61" s="33" t="inlineStr">
        <is>
          <t>Manufacturer Std</t>
        </is>
      </c>
      <c r="D61" s="33" t="inlineStr">
        <is>
          <t>Item 4"</t>
        </is>
      </c>
    </row>
    <row r="62">
      <c r="A62" s="33" t="inlineStr">
        <is>
          <t>Soleplate + Motor Skirt</t>
        </is>
      </c>
      <c r="B62" s="33" t="inlineStr">
        <is>
          <t>MS Fabricated</t>
        </is>
      </c>
      <c r="C62" s="33" t="inlineStr">
        <is>
          <t>IS 2062</t>
        </is>
      </c>
      <c r="D62" s="33" t="inlineStr">
        <is>
          <t>Items *, 7"</t>
        </is>
      </c>
    </row>
    <row r="63">
      <c r="A63" s="33" t="inlineStr">
        <is>
          <t>Motor Coupling + Pump Coupling</t>
        </is>
      </c>
      <c r="B63" s="33" t="inlineStr">
        <is>
          <t>CI FG 200</t>
        </is>
      </c>
      <c r="C63" s="33" t="inlineStr">
        <is>
          <t>IS 210</t>
        </is>
      </c>
      <c r="D63" s="33" t="inlineStr">
        <is>
          <t>Items 9", 8"</t>
        </is>
      </c>
    </row>
    <row r="64">
      <c r="A64" s="33" t="inlineStr">
        <is>
          <t>Fasteners</t>
        </is>
      </c>
      <c r="B64" s="33" t="inlineStr">
        <is>
          <t>Standard</t>
        </is>
      </c>
      <c r="C64" s="33" t="inlineStr">
        <is>
          <t>STD</t>
        </is>
      </c>
      <c r="D64" s="33" t="inlineStr">
        <is>
          <t>—</t>
        </is>
      </c>
    </row>
    <row r="66" ht="18" customHeight="1" s="64">
      <c r="A66" s="34" t="inlineStr">
        <is>
          <t>WEIGHTS</t>
        </is>
      </c>
    </row>
    <row r="67">
      <c r="A67" s="27" t="inlineStr">
        <is>
          <t>Item</t>
        </is>
      </c>
      <c r="B67" s="27" t="inlineStr">
        <is>
          <t>Weight (kg)</t>
        </is>
      </c>
      <c r="C67" s="27" t="inlineStr">
        <is>
          <t>Notes</t>
        </is>
      </c>
    </row>
    <row r="68">
      <c r="A68" s="33" t="inlineStr">
        <is>
          <t>Pump (complete VTP assembly)</t>
        </is>
      </c>
      <c r="B68" s="33" t="inlineStr">
        <is>
          <t>3350</t>
        </is>
      </c>
      <c r="C68" s="33" t="inlineStr">
        <is>
          <t>From pump datasheet</t>
        </is>
      </c>
    </row>
    <row r="69">
      <c r="A69" s="33" t="inlineStr">
        <is>
          <t>Motor (Jyoti-supplied CUTF315)</t>
        </is>
      </c>
      <c r="B69" s="33" t="inlineStr">
        <is>
          <t>1350</t>
        </is>
      </c>
      <c r="C69" s="33" t="inlineStr">
        <is>
          <t>From pump datasheet</t>
        </is>
      </c>
    </row>
    <row r="70">
      <c r="A70" s="33" t="inlineStr">
        <is>
          <t>TOTAL PACKAGE</t>
        </is>
      </c>
      <c r="B70" s="33" t="inlineStr">
        <is>
          <t>4700</t>
        </is>
      </c>
      <c r="C70" s="33" t="inlineStr">
        <is>
          <t>Pump 3350 + Motor 1350</t>
        </is>
      </c>
    </row>
    <row r="71" ht="25.5" customHeight="1" s="64">
      <c r="A71" s="33" t="inlineStr">
        <is>
          <t>Column Length</t>
        </is>
      </c>
      <c r="B71" s="33" t="inlineStr">
        <is>
          <t>19100 mm</t>
        </is>
      </c>
      <c r="C71" s="33" t="inlineStr">
        <is>
          <t>1500x12 + 1100x1; pump floor level 22.039m</t>
        </is>
      </c>
    </row>
    <row r="72" ht="25.5" customHeight="1" s="64">
      <c r="A72" s="33" t="inlineStr">
        <is>
          <t>Foundation Bolts</t>
        </is>
      </c>
      <c r="B72" s="33" t="inlineStr">
        <is>
          <t>4 Nos AM24 x 500mm</t>
        </is>
      </c>
      <c r="C72" s="33" t="inlineStr">
        <is>
          <t>NOT in Jyoti scope of supply</t>
        </is>
      </c>
    </row>
    <row r="74" ht="18" customHeight="1" s="64">
      <c r="A74" s="34" t="inlineStr">
        <is>
          <t>MOTOR DATA (JYOTI-SUPPLIED)</t>
        </is>
      </c>
    </row>
    <row r="75">
      <c r="A75" s="25" t="inlineStr">
        <is>
          <t>Motor Frame</t>
        </is>
      </c>
      <c r="B75" s="33" t="inlineStr">
        <is>
          <t>CUTF315 (IE-III)</t>
        </is>
      </c>
    </row>
    <row r="76">
      <c r="A76" s="25" t="inlineStr">
        <is>
          <t>Motor Type</t>
        </is>
      </c>
      <c r="B76" s="33" t="inlineStr">
        <is>
          <t>Solid Shaft</t>
        </is>
      </c>
    </row>
    <row r="77">
      <c r="A77" s="25" t="inlineStr">
        <is>
          <t>Rating</t>
        </is>
      </c>
      <c r="B77" s="33" t="inlineStr">
        <is>
          <t>160 kW / 215 hp</t>
        </is>
      </c>
    </row>
    <row r="78">
      <c r="A78" s="25" t="inlineStr">
        <is>
          <t>Poles / Speed</t>
        </is>
      </c>
      <c r="B78" s="33" t="inlineStr">
        <is>
          <t>4 Pole / 1480 RPM</t>
        </is>
      </c>
    </row>
    <row r="79">
      <c r="A79" s="25" t="inlineStr">
        <is>
          <t>Motor Weight</t>
        </is>
      </c>
      <c r="B79" s="33" t="inlineStr">
        <is>
          <t>1350 kg</t>
        </is>
      </c>
    </row>
    <row r="80">
      <c r="A80" s="25" t="inlineStr">
        <is>
          <t>Foundation Bolt</t>
        </is>
      </c>
      <c r="B80" s="33" t="inlineStr">
        <is>
          <t>4 Nos AM24 x 500mm (not in Jyoti scope)</t>
        </is>
      </c>
    </row>
    <row r="81">
      <c r="A81" s="25" t="inlineStr">
        <is>
          <t>Static Load at Foundation</t>
        </is>
      </c>
      <c r="B81" s="33" t="inlineStr">
        <is>
          <t>46.11 kN</t>
        </is>
      </c>
    </row>
    <row r="82">
      <c r="A82" s="25" t="inlineStr">
        <is>
          <t>Dynamic Load Horizontal @Duty</t>
        </is>
      </c>
      <c r="B82" s="33" t="inlineStr">
        <is>
          <t>9.98 kN</t>
        </is>
      </c>
    </row>
    <row r="83">
      <c r="A83" s="25" t="inlineStr">
        <is>
          <t>Dynamic Load Horizontal @Shutoff</t>
        </is>
      </c>
      <c r="B83" s="33" t="inlineStr">
        <is>
          <t>15.3 kN</t>
        </is>
      </c>
    </row>
    <row r="84">
      <c r="A84" s="25" t="inlineStr">
        <is>
          <t>Dynamic Load Vertical @Duty</t>
        </is>
      </c>
      <c r="B84" s="33" t="inlineStr">
        <is>
          <t>88.26 kN</t>
        </is>
      </c>
    </row>
    <row r="85">
      <c r="A85" s="25" t="inlineStr">
        <is>
          <t>Dynamic Load Vertical @Shutoff</t>
        </is>
      </c>
      <c r="B85" s="33" t="inlineStr">
        <is>
          <t>101.03 kN</t>
        </is>
      </c>
    </row>
    <row r="86">
      <c r="A86" s="25" t="inlineStr">
        <is>
          <t>Force at Discharge Nozzle Fx/Fy/Fz</t>
        </is>
      </c>
      <c r="B86" s="33" t="inlineStr">
        <is>
          <t>30.79 kN / 61.58 kN / 30.79 kN</t>
        </is>
      </c>
    </row>
    <row r="87">
      <c r="A87" s="25" t="inlineStr">
        <is>
          <t>Moment at Discharge Nozzle Mx/My/Mz</t>
        </is>
      </c>
      <c r="B87" s="33" t="inlineStr">
        <is>
          <t>6.16 kN.m / 14.47 kN.m / 6.16 kN.m</t>
        </is>
      </c>
    </row>
    <row r="89" ht="18" customHeight="1" s="64">
      <c r="A89" s="34" t="inlineStr">
        <is>
          <t>SUMP / INSTALLATION DETAILS</t>
        </is>
      </c>
    </row>
    <row r="90">
      <c r="A90" s="25" t="inlineStr">
        <is>
          <t>Sump Floor Level</t>
        </is>
      </c>
      <c r="B90" s="33" t="inlineStr">
        <is>
          <t>0 m (datum)</t>
        </is>
      </c>
    </row>
    <row r="91">
      <c r="A91" s="25" t="inlineStr">
        <is>
          <t>Min Water Level</t>
        </is>
      </c>
      <c r="B91" s="33" t="inlineStr">
        <is>
          <t>1.982 m above sump floor</t>
        </is>
      </c>
    </row>
    <row r="92">
      <c r="A92" s="25" t="inlineStr">
        <is>
          <t>Min Submergence Level</t>
        </is>
      </c>
      <c r="B92" s="33" t="inlineStr">
        <is>
          <t>1.482 m above sump floor</t>
        </is>
      </c>
    </row>
    <row r="93">
      <c r="A93" s="25" t="inlineStr">
        <is>
          <t>Pump Floor Level</t>
        </is>
      </c>
      <c r="B93" s="33" t="inlineStr">
        <is>
          <t>22.039 m</t>
        </is>
      </c>
    </row>
    <row r="94">
      <c r="A94" s="25" t="inlineStr">
        <is>
          <t>Side Wall Clearance</t>
        </is>
      </c>
      <c r="B94" s="33" t="inlineStr">
        <is>
          <t>340 mm</t>
        </is>
      </c>
    </row>
    <row r="95">
      <c r="A95" s="25" t="inlineStr">
        <is>
          <t>Back Wall Clearance</t>
        </is>
      </c>
      <c r="B95" s="33" t="inlineStr">
        <is>
          <t>255 mm</t>
        </is>
      </c>
    </row>
    <row r="96">
      <c r="A96" s="25" t="inlineStr">
        <is>
          <t>Bowl Diameter</t>
        </is>
      </c>
      <c r="B96" s="33" t="inlineStr">
        <is>
          <t>ø350 mm (submerged bowl)</t>
        </is>
      </c>
    </row>
    <row r="97">
      <c r="A97" s="25" t="inlineStr">
        <is>
          <t>Discharge Flange OD / ID / PCD</t>
        </is>
      </c>
      <c r="B97" s="33" t="inlineStr">
        <is>
          <t>ø343 / ø200 / ø292 mm; 8 Holes M16; Sq. 410mm port opening</t>
        </is>
      </c>
    </row>
    <row r="99" ht="18" customHeight="1" s="64">
      <c r="A99" s="34" t="inlineStr">
        <is>
          <t>COMPARISON — 400TE3D4 vs 350TE1A4 (Same Project)</t>
        </is>
      </c>
    </row>
    <row r="100">
      <c r="A100" s="27" t="inlineStr">
        <is>
          <t>Parameter</t>
        </is>
      </c>
      <c r="B100" s="27" t="inlineStr">
        <is>
          <t>400TE3D4 (Larger)</t>
        </is>
      </c>
      <c r="C100" s="27" t="inlineStr">
        <is>
          <t>350TE1A4 (Smaller)</t>
        </is>
      </c>
      <c r="D100" s="27" t="inlineStr">
        <is>
          <t>Ratio</t>
        </is>
      </c>
    </row>
    <row r="101">
      <c r="A101" s="33" t="inlineStr">
        <is>
          <t>Flow</t>
        </is>
      </c>
      <c r="B101" s="33" t="inlineStr">
        <is>
          <t>10234 LPM</t>
        </is>
      </c>
      <c r="C101" s="33" t="inlineStr">
        <is>
          <t>5117 LPM</t>
        </is>
      </c>
      <c r="D101" s="33" t="inlineStr">
        <is>
          <t>2:1</t>
        </is>
      </c>
    </row>
    <row r="102">
      <c r="A102" s="33" t="inlineStr">
        <is>
          <t>Stages</t>
        </is>
      </c>
      <c r="B102" s="33" t="inlineStr">
        <is>
          <t>5</t>
        </is>
      </c>
      <c r="C102" s="33" t="inlineStr">
        <is>
          <t>7</t>
        </is>
      </c>
      <c r="D102" s="33" t="inlineStr">
        <is>
          <t>—</t>
        </is>
      </c>
    </row>
    <row r="103">
      <c r="A103" s="33" t="inlineStr">
        <is>
          <t>Bowl Head</t>
        </is>
      </c>
      <c r="B103" s="33" t="inlineStr">
        <is>
          <t>116m</t>
        </is>
      </c>
      <c r="C103" s="33" t="inlineStr">
        <is>
          <t>116m</t>
        </is>
      </c>
      <c r="D103" s="33" t="inlineStr">
        <is>
          <t>Same</t>
        </is>
      </c>
    </row>
    <row r="104">
      <c r="A104" s="33" t="inlineStr">
        <is>
          <t>Pump Efficiency</t>
        </is>
      </c>
      <c r="B104" s="33" t="inlineStr">
        <is>
          <t>83%</t>
        </is>
      </c>
      <c r="C104" s="33" t="inlineStr">
        <is>
          <t>80%</t>
        </is>
      </c>
      <c r="D104" s="33" t="inlineStr">
        <is>
          <t>—</t>
        </is>
      </c>
    </row>
    <row r="105">
      <c r="A105" s="33" t="inlineStr">
        <is>
          <t>Motor Rating</t>
        </is>
      </c>
      <c r="B105" s="33" t="inlineStr">
        <is>
          <t>315 kW</t>
        </is>
      </c>
      <c r="C105" s="33" t="inlineStr">
        <is>
          <t>160 kW</t>
        </is>
      </c>
      <c r="D105" s="33" t="inlineStr">
        <is>
          <t>~2:1</t>
        </is>
      </c>
    </row>
    <row r="106">
      <c r="A106" s="33" t="inlineStr">
        <is>
          <t>Pump Weight</t>
        </is>
      </c>
      <c r="B106" s="33" t="inlineStr">
        <is>
          <t>5280 kg</t>
        </is>
      </c>
      <c r="C106" s="33" t="inlineStr">
        <is>
          <t>3350 kg</t>
        </is>
      </c>
      <c r="D106" s="33" t="inlineStr">
        <is>
          <t>1.57:1</t>
        </is>
      </c>
    </row>
    <row r="107">
      <c r="A107" s="33" t="inlineStr">
        <is>
          <t>Column Size</t>
        </is>
      </c>
      <c r="B107" s="33" t="inlineStr">
        <is>
          <t>300 x 60mm</t>
        </is>
      </c>
      <c r="C107" s="33" t="inlineStr">
        <is>
          <t>200 x 50mm</t>
        </is>
      </c>
      <c r="D107" s="33" t="inlineStr">
        <is>
          <t>—</t>
        </is>
      </c>
    </row>
    <row r="108">
      <c r="A108" s="33" t="inlineStr">
        <is>
          <t>Discharge</t>
        </is>
      </c>
      <c r="B108" s="33" t="inlineStr">
        <is>
          <t>DS-300</t>
        </is>
      </c>
      <c r="C108" s="33" t="inlineStr">
        <is>
          <t>DS-200</t>
        </is>
      </c>
      <c r="D108" s="33" t="inlineStr">
        <is>
          <t>—</t>
        </is>
      </c>
    </row>
    <row r="109">
      <c r="A109" s="33" t="inlineStr">
        <is>
          <t>Impeller Dia Rated</t>
        </is>
      </c>
      <c r="B109" s="33" t="inlineStr">
        <is>
          <t>ø326mm</t>
        </is>
      </c>
      <c r="C109" s="33" t="inlineStr">
        <is>
          <t>ø279.9mm</t>
        </is>
      </c>
      <c r="D109" s="33" t="inlineStr">
        <is>
          <t>—</t>
        </is>
      </c>
    </row>
    <row r="110">
      <c r="A110" s="33" t="inlineStr">
        <is>
          <t>Bowl Dia</t>
        </is>
      </c>
      <c r="B110" s="33" t="inlineStr">
        <is>
          <t>ø396mm</t>
        </is>
      </c>
      <c r="C110" s="33" t="inlineStr">
        <is>
          <t>ø350mm</t>
        </is>
      </c>
      <c r="D110" s="33" t="inlineStr">
        <is>
          <t>—</t>
        </is>
      </c>
    </row>
    <row r="111">
      <c r="A111" s="33" t="inlineStr">
        <is>
          <t>GD² Pump</t>
        </is>
      </c>
      <c r="B111" s="33" t="inlineStr">
        <is>
          <t>4.25 kgm²</t>
        </is>
      </c>
      <c r="C111" s="33" t="inlineStr">
        <is>
          <t>1.015 kgm²</t>
        </is>
      </c>
      <c r="D111" s="33" t="inlineStr">
        <is>
          <t>4.2:1</t>
        </is>
      </c>
    </row>
  </sheetData>
  <mergeCells count="46">
    <mergeCell ref="B75:L75"/>
    <mergeCell ref="B97:L97"/>
    <mergeCell ref="B91:L91"/>
    <mergeCell ref="B16:L16"/>
    <mergeCell ref="B7:L7"/>
    <mergeCell ref="A22:M22"/>
    <mergeCell ref="B90:L90"/>
    <mergeCell ref="A4:M4"/>
    <mergeCell ref="B81:L81"/>
    <mergeCell ref="B93:L93"/>
    <mergeCell ref="B18:L18"/>
    <mergeCell ref="B12:L12"/>
    <mergeCell ref="B96:L96"/>
    <mergeCell ref="B86:L86"/>
    <mergeCell ref="B77:L77"/>
    <mergeCell ref="B11:L11"/>
    <mergeCell ref="A40:M40"/>
    <mergeCell ref="B14:L14"/>
    <mergeCell ref="B17:L17"/>
    <mergeCell ref="B8:L8"/>
    <mergeCell ref="B13:L13"/>
    <mergeCell ref="A1:M1"/>
    <mergeCell ref="B82:L82"/>
    <mergeCell ref="B78:L78"/>
    <mergeCell ref="B87:L87"/>
    <mergeCell ref="B19:L19"/>
    <mergeCell ref="B10:L10"/>
    <mergeCell ref="B84:L84"/>
    <mergeCell ref="B9:L9"/>
    <mergeCell ref="A99:M99"/>
    <mergeCell ref="B83:L83"/>
    <mergeCell ref="A66:M66"/>
    <mergeCell ref="B92:L92"/>
    <mergeCell ref="B6:L6"/>
    <mergeCell ref="A89:M89"/>
    <mergeCell ref="B15:L15"/>
    <mergeCell ref="A74:M74"/>
    <mergeCell ref="B80:L80"/>
    <mergeCell ref="B20:L20"/>
    <mergeCell ref="B95:L95"/>
    <mergeCell ref="B5:L5"/>
    <mergeCell ref="B85:L85"/>
    <mergeCell ref="B76:L76"/>
    <mergeCell ref="B94:L94"/>
    <mergeCell ref="A2:M2"/>
    <mergeCell ref="B79:L7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7"/>
  <sheetViews>
    <sheetView topLeftCell="A49" workbookViewId="0">
      <selection activeCell="B62" sqref="B62"/>
    </sheetView>
  </sheetViews>
  <sheetFormatPr baseColWidth="8" defaultRowHeight="15"/>
  <cols>
    <col width="30" customWidth="1" style="64" min="1" max="1"/>
    <col width="65" customWidth="1" style="64" min="2" max="2"/>
    <col width="8" customWidth="1" style="64" min="3" max="3"/>
    <col width="20" customWidth="1" style="64" min="4" max="4"/>
    <col width="10" customWidth="1" style="64" min="5" max="13"/>
  </cols>
  <sheetData>
    <row r="1" ht="24" customHeight="1" s="64">
      <c r="A1" s="35" t="inlineStr">
        <is>
          <t>DISSECTION SUMMARY — WILO MPS-3 1-STAGE VERTICAL TURBINE PUMP</t>
        </is>
      </c>
    </row>
    <row r="2">
      <c r="A2" s="36" t="inlineStr">
        <is>
          <t>Project: Sauni Yojana Link-2 Package-9 | FPS-8 Shell Dedumal | Approval: Bhavnagar Irrigation Project Div (Approval 9-35, 11/09/2023) | GAD: 81332087-10 Rev 03</t>
        </is>
      </c>
    </row>
    <row r="4" ht="18" customHeight="1" s="64">
      <c r="A4" s="34" t="inlineStr">
        <is>
          <t>PUMP IDENTITY</t>
        </is>
      </c>
    </row>
    <row r="5">
      <c r="A5" s="25" t="inlineStr">
        <is>
          <t>Pump Model</t>
        </is>
      </c>
      <c r="B5" s="33" t="inlineStr">
        <is>
          <t>Wilo MPS-3 (1-Stage VTP)</t>
        </is>
      </c>
    </row>
    <row r="6">
      <c r="A6" s="25" t="inlineStr">
        <is>
          <t>Manufacturer</t>
        </is>
      </c>
      <c r="B6" s="33" t="inlineStr">
        <is>
          <t>Wilo Mather &amp; Platt Pumps Pvt Ltd, Pune-19</t>
        </is>
      </c>
    </row>
    <row r="7">
      <c r="A7" s="25" t="inlineStr">
        <is>
          <t>Drawing No.</t>
        </is>
      </c>
      <c r="B7" s="33" t="inlineStr">
        <is>
          <t>81332087-10 GA Rev 03</t>
        </is>
      </c>
    </row>
    <row r="8">
      <c r="A8" s="25" t="inlineStr">
        <is>
          <t>Wilo SO No.</t>
        </is>
      </c>
      <c r="B8" s="33" t="inlineStr">
        <is>
          <t>81332087</t>
        </is>
      </c>
    </row>
    <row r="9">
      <c r="A9" s="25" t="inlineStr">
        <is>
          <t>Service</t>
        </is>
      </c>
      <c r="B9" s="33" t="inlineStr">
        <is>
          <t>Water Supply — Sauni Yojana Link-2 Package-9, FPS-8 Shell Dedumal</t>
        </is>
      </c>
    </row>
    <row r="10">
      <c r="A10" s="25" t="inlineStr">
        <is>
          <t>Client / Owner</t>
        </is>
      </c>
      <c r="B10" s="33" t="inlineStr">
        <is>
          <t>Bhavnagar Irrigation Project Division (G2 WRD)</t>
        </is>
      </c>
    </row>
    <row r="11">
      <c r="A11" s="25" t="inlineStr">
        <is>
          <t>LSTK Contractor</t>
        </is>
      </c>
      <c r="B11" s="33" t="inlineStr">
        <is>
          <t>Zetwerk Manufacturing Businesses Pvt Ltd</t>
        </is>
      </c>
    </row>
    <row r="12">
      <c r="A12" s="25" t="inlineStr">
        <is>
          <t>TPI (Inspection)</t>
        </is>
      </c>
      <c r="B12" s="33" t="inlineStr">
        <is>
          <t>Technomen Consultants, Gandhinagar</t>
        </is>
      </c>
    </row>
    <row r="13">
      <c r="A13" s="25" t="inlineStr">
        <is>
          <t>Approval Ref</t>
        </is>
      </c>
      <c r="B13" s="33" t="inlineStr">
        <is>
          <t>Approval 9-35 dated 11/09/2023; No. PB-3/Sauni-L2P9/Hindustan Project/Approval/HT &amp; LT MOTOR / 21ℒ66</t>
        </is>
      </c>
    </row>
    <row r="14">
      <c r="A14" s="25" t="inlineStr">
        <is>
          <t>Pump Type</t>
        </is>
      </c>
      <c r="B14" s="33" t="inlineStr">
        <is>
          <t>Vertical Turbine Pump (VTP), 1-Stage</t>
        </is>
      </c>
    </row>
    <row r="15">
      <c r="A15" s="25" t="inlineStr">
        <is>
          <t>Bore</t>
        </is>
      </c>
      <c r="B15" s="33" t="inlineStr">
        <is>
          <t>450 mm NB (Delivery pipe bore)</t>
        </is>
      </c>
    </row>
    <row r="16">
      <c r="A16" s="25" t="inlineStr">
        <is>
          <t>Lubrication</t>
        </is>
      </c>
      <c r="B16" s="33" t="inlineStr">
        <is>
          <t>Antifriction Oil Lubricated</t>
        </is>
      </c>
    </row>
    <row r="17">
      <c r="A17" s="25" t="inlineStr">
        <is>
          <t>Direction of Rotation</t>
        </is>
      </c>
      <c r="B17" s="33" t="inlineStr">
        <is>
          <t>CW from top (antifriction oil)</t>
        </is>
      </c>
    </row>
    <row r="18">
      <c r="A18" s="25" t="inlineStr">
        <is>
          <t>Motor Frame</t>
        </is>
      </c>
      <c r="B18" s="33" t="inlineStr">
        <is>
          <t>VPC710 (CGL make)</t>
        </is>
      </c>
    </row>
    <row r="19">
      <c r="A19" s="25" t="inlineStr">
        <is>
          <t>Motor Rating</t>
        </is>
      </c>
      <c r="B19" s="33" t="inlineStr">
        <is>
          <t>260 kW</t>
        </is>
      </c>
    </row>
    <row r="21" ht="18" customHeight="1" s="64">
      <c r="A21" s="34" t="inlineStr">
        <is>
          <t>PUMP PERFORMANCE (FROM GAD 81332087-10)</t>
        </is>
      </c>
    </row>
    <row r="22">
      <c r="A22" s="27" t="inlineStr">
        <is>
          <t>Parameter</t>
        </is>
      </c>
      <c r="B22" s="27" t="inlineStr">
        <is>
          <t>Value</t>
        </is>
      </c>
      <c r="C22" s="27" t="inlineStr">
        <is>
          <t>Units</t>
        </is>
      </c>
      <c r="D22" s="27" t="inlineStr">
        <is>
          <t>Notes</t>
        </is>
      </c>
    </row>
    <row r="23" ht="25.5" customHeight="1" s="64">
      <c r="A23" s="33" t="inlineStr">
        <is>
          <t>Flow (Q)</t>
        </is>
      </c>
      <c r="B23" s="33" t="inlineStr">
        <is>
          <t>68</t>
        </is>
      </c>
      <c r="C23" s="33" t="inlineStr">
        <is>
          <t>m³/h</t>
        </is>
      </c>
      <c r="D23" s="33" t="inlineStr">
        <is>
          <t>From GAD nameplate block</t>
        </is>
      </c>
    </row>
    <row r="24" ht="25.5" customHeight="1" s="64">
      <c r="A24" s="33" t="inlineStr">
        <is>
          <t>Head (H)</t>
        </is>
      </c>
      <c r="B24" s="33" t="inlineStr">
        <is>
          <t>68</t>
        </is>
      </c>
      <c r="C24" s="33" t="inlineStr">
        <is>
          <t>m</t>
        </is>
      </c>
      <c r="D24" s="33" t="inlineStr">
        <is>
          <t>From GAD nameplate block</t>
        </is>
      </c>
    </row>
    <row r="25">
      <c r="A25" s="33" t="inlineStr">
        <is>
          <t>Speed</t>
        </is>
      </c>
      <c r="B25" s="33" t="inlineStr">
        <is>
          <t>1482</t>
        </is>
      </c>
      <c r="C25" s="33" t="inlineStr">
        <is>
          <t>RPM</t>
        </is>
      </c>
      <c r="D25" s="33" t="inlineStr">
        <is>
          <t>Full speed</t>
        </is>
      </c>
    </row>
    <row r="26">
      <c r="A26" s="33" t="inlineStr">
        <is>
          <t>Motor Rating</t>
        </is>
      </c>
      <c r="B26" s="33" t="inlineStr">
        <is>
          <t>260</t>
        </is>
      </c>
      <c r="C26" s="33" t="inlineStr">
        <is>
          <t>kW</t>
        </is>
      </c>
      <c r="D26" s="33" t="inlineStr">
        <is>
          <t>CGL VPC710 frame</t>
        </is>
      </c>
    </row>
    <row r="27">
      <c r="A27" s="33" t="inlineStr">
        <is>
          <t>Bowl Efficiency</t>
        </is>
      </c>
      <c r="B27" s="33" t="inlineStr">
        <is>
          <t>58.28%</t>
        </is>
      </c>
      <c r="C27" s="33" t="inlineStr">
        <is>
          <t>%</t>
        </is>
      </c>
      <c r="D27" s="33" t="inlineStr">
        <is>
          <t>From GAD data block</t>
        </is>
      </c>
    </row>
    <row r="28">
      <c r="A28" s="33" t="inlineStr">
        <is>
          <t>No. of Stages</t>
        </is>
      </c>
      <c r="B28" s="33" t="inlineStr">
        <is>
          <t>1</t>
        </is>
      </c>
      <c r="C28" s="33" t="inlineStr">
        <is>
          <t>—</t>
        </is>
      </c>
      <c r="D28" s="33" t="inlineStr">
        <is>
          <t>Single stage MPS-3</t>
        </is>
      </c>
    </row>
    <row r="29" ht="25.5" customHeight="1" s="64">
      <c r="A29" s="33" t="inlineStr">
        <is>
          <t>No. of Pumps</t>
        </is>
      </c>
      <c r="B29" s="33" t="inlineStr">
        <is>
          <t>—</t>
        </is>
      </c>
      <c r="C29" s="33" t="inlineStr">
        <is>
          <t>—</t>
        </is>
      </c>
      <c r="D29" s="33" t="inlineStr">
        <is>
          <t>Part of FPS-8 Shell Dedumal feeder station</t>
        </is>
      </c>
    </row>
    <row r="31" ht="18" customHeight="1" s="64">
      <c r="A31" s="34" t="inlineStr">
        <is>
          <t>STRUCTURAL / INSTALLATION DETAILS (FROM GAD)</t>
        </is>
      </c>
    </row>
    <row r="32">
      <c r="A32" s="27" t="inlineStr">
        <is>
          <t>Parameter</t>
        </is>
      </c>
      <c r="B32" s="27" t="inlineStr">
        <is>
          <t>Value</t>
        </is>
      </c>
      <c r="C32" s="27" t="inlineStr">
        <is>
          <t>Notes</t>
        </is>
      </c>
    </row>
    <row r="33" ht="63.75" customHeight="1" s="64">
      <c r="A33" s="33" t="inlineStr">
        <is>
          <t>Total Assembly Height</t>
        </is>
      </c>
      <c r="B33" s="33" t="inlineStr">
        <is>
          <t>6500 mm (approx)</t>
        </is>
      </c>
      <c r="C33" s="33" t="inlineStr">
        <is>
          <t>Overall from sump to motor top</t>
        </is>
      </c>
    </row>
    <row r="34" ht="25.5" customHeight="1" s="64">
      <c r="A34" s="33" t="inlineStr">
        <is>
          <t>Min Submergence (Min. Reqd.)</t>
        </is>
      </c>
      <c r="B34" s="33" t="inlineStr">
        <is>
          <t>2185 mm</t>
        </is>
      </c>
      <c r="C34" s="33" t="inlineStr">
        <is>
          <t>From GAD</t>
        </is>
      </c>
    </row>
    <row r="35" ht="76.5" customHeight="1" s="64">
      <c r="A35" s="33" t="inlineStr">
        <is>
          <t>Column Length</t>
        </is>
      </c>
      <c r="B35" s="33" t="inlineStr">
        <is>
          <t>4600 mm</t>
        </is>
      </c>
      <c r="C35" s="33" t="inlineStr">
        <is>
          <t>1200x3 + 1000x1 per revision note</t>
        </is>
      </c>
    </row>
    <row r="36" ht="38.25" customHeight="1" s="64">
      <c r="A36" s="33" t="inlineStr">
        <is>
          <t>Delivery Pipe Length</t>
        </is>
      </c>
      <c r="B36" s="33" t="inlineStr">
        <is>
          <t>1500 + 1990 mm</t>
        </is>
      </c>
      <c r="C36" s="33" t="inlineStr">
        <is>
          <t>Upper delivery section</t>
        </is>
      </c>
    </row>
    <row r="37" ht="63.75" customHeight="1" s="64">
      <c r="A37" s="33" t="inlineStr">
        <is>
          <t>Base Frame</t>
        </is>
      </c>
      <c r="B37" s="33" t="inlineStr">
        <is>
          <t>2100 CTC x 2200 SQ mm</t>
        </is>
      </c>
      <c r="C37" s="33" t="inlineStr">
        <is>
          <t>Plan view of base frame at Z-Z</t>
        </is>
      </c>
    </row>
    <row r="38" ht="51" customHeight="1" s="64">
      <c r="A38" s="33" t="inlineStr">
        <is>
          <t>Foundation Bolt Holes</t>
        </is>
      </c>
      <c r="B38" s="33" t="inlineStr">
        <is>
          <t>16 Nos M30 Drill</t>
        </is>
      </c>
      <c r="C38" s="33" t="inlineStr">
        <is>
          <t>For pump mounting</t>
        </is>
      </c>
    </row>
    <row r="39" ht="38.25" customHeight="1" s="64">
      <c r="A39" s="33" t="inlineStr">
        <is>
          <t>Grouting</t>
        </is>
      </c>
      <c r="B39" s="33" t="inlineStr">
        <is>
          <t>Required per standard</t>
        </is>
      </c>
      <c r="C39" s="33" t="inlineStr">
        <is>
          <t>Base frame grouted</t>
        </is>
      </c>
    </row>
    <row r="40" ht="63.75" customHeight="1" s="64">
      <c r="A40" s="33" t="inlineStr">
        <is>
          <t>Motor Stool</t>
        </is>
      </c>
      <c r="B40" s="33" t="inlineStr">
        <is>
          <t>—</t>
        </is>
      </c>
      <c r="C40" s="33" t="inlineStr">
        <is>
          <t>Connects motor to pump discharge head</t>
        </is>
      </c>
    </row>
    <row r="41" ht="63.75" customHeight="1" s="64">
      <c r="A41" s="33" t="inlineStr">
        <is>
          <t>Coupling End (Pump Shaft)</t>
        </is>
      </c>
      <c r="B41" s="33" t="inlineStr">
        <is>
          <t>Ø45 mm bore</t>
        </is>
      </c>
      <c r="C41" s="33" t="inlineStr">
        <is>
          <t>Per coupling end detail drawing</t>
        </is>
      </c>
    </row>
    <row r="42" ht="63.75" customHeight="1" s="64">
      <c r="A42" s="33" t="inlineStr">
        <is>
          <t>Coupling End (Motor Shaft)</t>
        </is>
      </c>
      <c r="B42" s="33" t="inlineStr">
        <is>
          <t>Ø100 mm bore</t>
        </is>
      </c>
      <c r="C42" s="33" t="inlineStr">
        <is>
          <t>Per coupling end detail drawing</t>
        </is>
      </c>
    </row>
    <row r="43" ht="63.75" customHeight="1" s="64">
      <c r="A43" s="33" t="inlineStr">
        <is>
          <t>Base Frame Plate Thickness</t>
        </is>
      </c>
      <c r="B43" s="33" t="inlineStr">
        <is>
          <t>8mm revised to 14mm</t>
        </is>
      </c>
      <c r="C43" s="33" t="inlineStr">
        <is>
          <t>Per revision note on GAD Rev 03</t>
        </is>
      </c>
    </row>
    <row r="44" ht="38.25" customHeight="1" s="64">
      <c r="A44" s="33" t="inlineStr">
        <is>
          <t>Hook Height (Min)</t>
        </is>
      </c>
      <c r="B44" s="33" t="inlineStr">
        <is>
          <t>5500 mm</t>
        </is>
      </c>
      <c r="C44" s="33" t="inlineStr">
        <is>
          <t>For erection / lifting</t>
        </is>
      </c>
    </row>
    <row r="46" ht="18" customHeight="1" s="64">
      <c r="A46" s="34" t="inlineStr">
        <is>
          <t>MOTOR DATA (CGL VPC710)</t>
        </is>
      </c>
    </row>
    <row r="47">
      <c r="A47" s="25" t="inlineStr">
        <is>
          <t>Make</t>
        </is>
      </c>
      <c r="B47" s="33" t="inlineStr">
        <is>
          <t>CGL (Crompton Greaves Ltd)</t>
        </is>
      </c>
    </row>
    <row r="48">
      <c r="A48" s="25" t="inlineStr">
        <is>
          <t>Frame</t>
        </is>
      </c>
      <c r="B48" s="33" t="inlineStr">
        <is>
          <t>VPC710</t>
        </is>
      </c>
    </row>
    <row r="49">
      <c r="A49" s="25" t="inlineStr">
        <is>
          <t>Rating</t>
        </is>
      </c>
      <c r="B49" s="33" t="inlineStr">
        <is>
          <t>260 kW</t>
        </is>
      </c>
    </row>
    <row r="50">
      <c r="A50" s="25" t="inlineStr">
        <is>
          <t>Speed</t>
        </is>
      </c>
      <c r="B50" s="33" t="inlineStr">
        <is>
          <t>1482 RPM (full speed)</t>
        </is>
      </c>
    </row>
    <row r="51">
      <c r="A51" s="25" t="inlineStr">
        <is>
          <t>Lubrication</t>
        </is>
      </c>
      <c r="B51" s="33" t="inlineStr">
        <is>
          <t>Antifriction Oil (motor bearings)</t>
        </is>
      </c>
    </row>
    <row r="52">
      <c r="A52" s="25" t="inlineStr">
        <is>
          <t>Mounting</t>
        </is>
      </c>
      <c r="B52" s="33" t="inlineStr">
        <is>
          <t>Vertical hollow/solid shaft for VTP</t>
        </is>
      </c>
    </row>
    <row r="53">
      <c r="A53" s="25" t="inlineStr">
        <is>
          <t>Approval Status</t>
        </is>
      </c>
      <c r="B53" s="33" t="inlineStr">
        <is>
          <t>Approved by Bhavnagar Irrigation Project Division (Approval 9-35)</t>
        </is>
      </c>
    </row>
    <row r="54">
      <c r="A54" s="25" t="inlineStr">
        <is>
          <t>Document Ref</t>
        </is>
      </c>
      <c r="B54" s="33" t="inlineStr">
        <is>
          <t>HT Induction Motor approved — see Approval letter No. PB-3/Sauni-L2P9 dated 11/09/2023</t>
        </is>
      </c>
    </row>
    <row r="55">
      <c r="A55" s="25" t="inlineStr">
        <is>
          <t>Note</t>
        </is>
      </c>
      <c r="B55" s="33" t="inlineStr">
        <is>
          <t>Motor datasheet and QAP also approved as part of same package (HT &amp; LT Motors, Jyoti Ltd Vadodara)</t>
        </is>
      </c>
    </row>
    <row r="57" ht="18" customHeight="1" s="64">
      <c r="A57" s="34" t="inlineStr">
        <is>
          <t>PROJECT / APPROVAL CONTEXT</t>
        </is>
      </c>
    </row>
  </sheetData>
  <mergeCells count="31">
    <mergeCell ref="B50:L50"/>
    <mergeCell ref="B16:L16"/>
    <mergeCell ref="B54:L54"/>
    <mergeCell ref="B7:L7"/>
    <mergeCell ref="B47:L47"/>
    <mergeCell ref="A4:M4"/>
    <mergeCell ref="B18:L18"/>
    <mergeCell ref="B12:L12"/>
    <mergeCell ref="B52:L52"/>
    <mergeCell ref="B48:L48"/>
    <mergeCell ref="A31:M31"/>
    <mergeCell ref="B11:L11"/>
    <mergeCell ref="B14:L14"/>
    <mergeCell ref="B17:L17"/>
    <mergeCell ref="B8:L8"/>
    <mergeCell ref="B53:L53"/>
    <mergeCell ref="B13:L13"/>
    <mergeCell ref="A1:M1"/>
    <mergeCell ref="B19:L19"/>
    <mergeCell ref="B10:L10"/>
    <mergeCell ref="B9:L9"/>
    <mergeCell ref="A46:M46"/>
    <mergeCell ref="B49:L49"/>
    <mergeCell ref="B6:L6"/>
    <mergeCell ref="B15:L15"/>
    <mergeCell ref="B55:L55"/>
    <mergeCell ref="B5:L5"/>
    <mergeCell ref="B51:L51"/>
    <mergeCell ref="A21:M21"/>
    <mergeCell ref="A57:M57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:M83"/>
    </sheetView>
  </sheetViews>
  <sheetFormatPr baseColWidth="8" defaultRowHeight="15"/>
  <sheetData>
    <row r="1" ht="17.25" customHeight="1" s="64">
      <c r="A1" s="48" t="inlineStr">
        <is>
          <t>DISSECTION SUMMARY — KSB STGC 050-160-CC-WDL DILUTE ACID SUMP PUMP</t>
        </is>
      </c>
    </row>
    <row r="2">
      <c r="A2" s="32" t="inlineStr">
        <is>
          <t>Project: NALCO 1.0 MTPA Alumina Refinery Stream-5 | KSB S.O. 9975641078/0100 | Client PO: ZET-OD-KSB2-2 dt.09.12.2024 | Drawing: F9975641078-1 R5</t>
        </is>
      </c>
    </row>
    <row r="4">
      <c r="A4" s="47" t="inlineStr">
        <is>
          <t>PUMP IDENTITY</t>
        </is>
      </c>
    </row>
    <row r="5">
      <c r="A5" s="56" t="inlineStr">
        <is>
          <t>Pump Model</t>
        </is>
      </c>
      <c r="B5" s="58" t="inlineStr">
        <is>
          <t>KSB STGC 050-160-CC-WDL</t>
        </is>
      </c>
    </row>
    <row r="6">
      <c r="A6" s="56" t="inlineStr">
        <is>
          <t>Manufacturer</t>
        </is>
      </c>
      <c r="B6" s="58" t="inlineStr">
        <is>
          <t>KSB Limited (India)</t>
        </is>
      </c>
    </row>
    <row r="7">
      <c r="A7" s="56" t="inlineStr">
        <is>
          <t>KSB S.O. No.</t>
        </is>
      </c>
      <c r="B7" s="58" t="inlineStr">
        <is>
          <t>9975641078/0100</t>
        </is>
      </c>
    </row>
    <row r="8">
      <c r="A8" s="56" t="inlineStr">
        <is>
          <t>Client P.O. No.</t>
        </is>
      </c>
      <c r="B8" s="58" t="inlineStr">
        <is>
          <t>ZET-OD-KSB2-2 dt.09.12.2024</t>
        </is>
      </c>
    </row>
    <row r="9">
      <c r="A9" s="56" t="inlineStr">
        <is>
          <t>Customer Item No.</t>
        </is>
      </c>
      <c r="B9" s="58" t="inlineStr">
        <is>
          <t>08PU-J5893 — Acid Area Sump Pump</t>
        </is>
      </c>
    </row>
    <row r="10">
      <c r="A10" s="56" t="inlineStr">
        <is>
          <t>Quantity</t>
        </is>
      </c>
      <c r="B10" s="58" t="inlineStr">
        <is>
          <t>1 No.</t>
        </is>
      </c>
    </row>
    <row r="11">
      <c r="A11" s="56" t="inlineStr">
        <is>
          <t>Service</t>
        </is>
      </c>
      <c r="B11" s="58" t="inlineStr">
        <is>
          <t>Dilute Sulphuric Acid Sump Pump</t>
        </is>
      </c>
    </row>
    <row r="12">
      <c r="A12" s="56" t="inlineStr">
        <is>
          <t>Location</t>
        </is>
      </c>
      <c r="B12" s="58" t="inlineStr">
        <is>
          <t>Evaporation Unit, NALCO Damanjodi, Odisha</t>
        </is>
      </c>
    </row>
    <row r="13">
      <c r="A13" s="56" t="inlineStr">
        <is>
          <t>Type</t>
        </is>
      </c>
      <c r="B13" s="58" t="inlineStr">
        <is>
          <t>Vertical Sump Pump — KSB STGC series</t>
        </is>
      </c>
    </row>
    <row r="14">
      <c r="A14" s="56" t="inlineStr">
        <is>
          <t>Direction of Rotation</t>
        </is>
      </c>
      <c r="B14" s="58" t="inlineStr">
        <is>
          <t>Clockwise from DE</t>
        </is>
      </c>
    </row>
    <row r="15">
      <c r="A15" s="56" t="inlineStr">
        <is>
          <t>ZW Drawing No.</t>
        </is>
      </c>
      <c r="B15" s="58" t="inlineStr">
        <is>
          <t>ZT2023.02-508-GA-ME-241</t>
        </is>
      </c>
    </row>
    <row r="16">
      <c r="A16" s="56" t="inlineStr">
        <is>
          <t>Drawing Rev</t>
        </is>
      </c>
      <c r="B16" s="58" t="inlineStr">
        <is>
          <t>R5 (27-Nov-2025)</t>
        </is>
      </c>
    </row>
    <row r="17">
      <c r="A17" s="56" t="inlineStr">
        <is>
          <t>Technology Partner</t>
        </is>
      </c>
      <c r="B17" s="58" t="inlineStr">
        <is>
          <t>Metso Outotec (Germany) / Outotec India Pvt Ltd</t>
        </is>
      </c>
    </row>
    <row r="18">
      <c r="A18" s="56" t="inlineStr">
        <is>
          <t>LSTK Contractor</t>
        </is>
      </c>
      <c r="B18" s="58" t="inlineStr">
        <is>
          <t>Zetwerk Manufacturing Businesses Pvt Ltd</t>
        </is>
      </c>
    </row>
    <row r="19">
      <c r="A19" s="56" t="inlineStr">
        <is>
          <t>Consultant</t>
        </is>
      </c>
      <c r="B19" s="58" t="inlineStr">
        <is>
          <t>Triple I Engineers, Hyderabad</t>
        </is>
      </c>
    </row>
    <row r="21">
      <c r="A21" s="47" t="inlineStr">
        <is>
          <t>PUMP PERFORMANCE (DUTY POINT)</t>
        </is>
      </c>
    </row>
    <row r="22" ht="25.5" customHeight="1" s="64">
      <c r="A22" s="59" t="inlineStr">
        <is>
          <t>Parameter</t>
        </is>
      </c>
      <c r="B22" s="59" t="inlineStr">
        <is>
          <t>Value</t>
        </is>
      </c>
      <c r="C22" s="59" t="inlineStr">
        <is>
          <t>Units</t>
        </is>
      </c>
      <c r="D22" s="59" t="inlineStr">
        <is>
          <t>Notes</t>
        </is>
      </c>
    </row>
    <row r="23" ht="63.75" customHeight="1" s="64">
      <c r="A23" s="58" t="inlineStr">
        <is>
          <t>Rated Flow</t>
        </is>
      </c>
      <c r="B23" s="58" t="inlineStr">
        <is>
          <t>80</t>
        </is>
      </c>
      <c r="C23" s="58" t="inlineStr">
        <is>
          <t>m³/h</t>
        </is>
      </c>
      <c r="D23" s="58" t="inlineStr">
        <is>
          <t>From pump duty block on drawing</t>
        </is>
      </c>
    </row>
    <row r="24" ht="63.75" customHeight="1" s="64">
      <c r="A24" s="58" t="inlineStr">
        <is>
          <t>Rated Head</t>
        </is>
      </c>
      <c r="B24" s="58" t="inlineStr">
        <is>
          <t>30</t>
        </is>
      </c>
      <c r="C24" s="58" t="inlineStr">
        <is>
          <t>m</t>
        </is>
      </c>
      <c r="D24" s="58" t="inlineStr">
        <is>
          <t>From pump duty block on drawing</t>
        </is>
      </c>
    </row>
    <row r="25" ht="38.25" customHeight="1" s="64">
      <c r="A25" s="58" t="inlineStr">
        <is>
          <t>Speed</t>
        </is>
      </c>
      <c r="B25" s="58" t="inlineStr">
        <is>
          <t>2940</t>
        </is>
      </c>
      <c r="C25" s="58" t="inlineStr">
        <is>
          <t>RPM</t>
        </is>
      </c>
      <c r="D25" s="58" t="inlineStr">
        <is>
          <t>Motor speed (2-pole)</t>
        </is>
      </c>
    </row>
    <row r="26" ht="25.5" customHeight="1" s="64">
      <c r="A26" s="58" t="inlineStr">
        <is>
          <t>Motor Rating</t>
        </is>
      </c>
      <c r="B26" s="58" t="inlineStr">
        <is>
          <t>15</t>
        </is>
      </c>
      <c r="C26" s="58" t="inlineStr">
        <is>
          <t>kW</t>
        </is>
      </c>
      <c r="D26" s="58" t="inlineStr">
        <is>
          <t>ABB 160M frame</t>
        </is>
      </c>
    </row>
    <row r="27" ht="51" customHeight="1" s="64">
      <c r="A27" s="58" t="inlineStr">
        <is>
          <t>GD² of Pump</t>
        </is>
      </c>
      <c r="B27" s="58" t="inlineStr">
        <is>
          <t>0.0434</t>
        </is>
      </c>
      <c r="C27" s="58" t="inlineStr">
        <is>
          <t>kgm²</t>
        </is>
      </c>
      <c r="D27" s="58" t="inlineStr">
        <is>
          <t>From drawing data block</t>
        </is>
      </c>
    </row>
    <row r="28" ht="51" customHeight="1" s="64">
      <c r="A28" s="58" t="inlineStr">
        <is>
          <t>Dynamic Load per Fixing Bolt</t>
        </is>
      </c>
      <c r="B28" s="58" t="inlineStr">
        <is>
          <t>3162</t>
        </is>
      </c>
      <c r="C28" s="58" t="inlineStr">
        <is>
          <t>kgf</t>
        </is>
      </c>
      <c r="D28" s="58" t="inlineStr">
        <is>
          <t>From drawing data block</t>
        </is>
      </c>
    </row>
    <row r="29" ht="38.25" customHeight="1" s="64">
      <c r="A29" s="58" t="inlineStr">
        <is>
          <t>Fluid</t>
        </is>
      </c>
      <c r="B29" s="58" t="inlineStr">
        <is>
          <t>Dilute Sulphuric Acid</t>
        </is>
      </c>
      <c r="C29" s="58" t="inlineStr">
        <is>
          <t>—</t>
        </is>
      </c>
      <c r="D29" s="58" t="inlineStr">
        <is>
          <t>Corrosive service</t>
        </is>
      </c>
    </row>
    <row r="30" ht="38.25" customHeight="1" s="64">
      <c r="A30" s="58" t="inlineStr">
        <is>
          <t>Installation Depth</t>
        </is>
      </c>
      <c r="B30" s="58" t="inlineStr">
        <is>
          <t>1973</t>
        </is>
      </c>
      <c r="C30" s="58" t="inlineStr">
        <is>
          <t>mm</t>
        </is>
      </c>
      <c r="D30" s="58" t="inlineStr">
        <is>
          <t>From FFL to tank bottom</t>
        </is>
      </c>
    </row>
    <row r="31" ht="25.5" customHeight="1" s="64">
      <c r="A31" s="58" t="inlineStr">
        <is>
          <t>Tank Thickness</t>
        </is>
      </c>
      <c r="B31" s="58" t="inlineStr">
        <is>
          <t>10</t>
        </is>
      </c>
      <c r="C31" s="58" t="inlineStr">
        <is>
          <t>mm</t>
        </is>
      </c>
      <c r="D31" s="58" t="inlineStr">
        <is>
          <t>Acid tank wall</t>
        </is>
      </c>
    </row>
    <row r="32" ht="38.25" customHeight="1" s="64">
      <c r="A32" s="58" t="inlineStr">
        <is>
          <t>Min Liquid Level</t>
        </is>
      </c>
      <c r="B32" s="58" t="inlineStr">
        <is>
          <t>240</t>
        </is>
      </c>
      <c r="C32" s="58" t="inlineStr">
        <is>
          <t>mm</t>
        </is>
      </c>
      <c r="D32" s="58" t="inlineStr">
        <is>
          <t>From drawing</t>
        </is>
      </c>
    </row>
    <row r="33" ht="38.25" customHeight="1" s="64">
      <c r="A33" s="58" t="inlineStr">
        <is>
          <t>FFL (Floor Level)</t>
        </is>
      </c>
      <c r="B33" s="58" t="inlineStr">
        <is>
          <t>EL +930.300m</t>
        </is>
      </c>
      <c r="C33" s="58" t="inlineStr">
        <is>
          <t>—</t>
        </is>
      </c>
      <c r="D33" s="58" t="n"/>
    </row>
    <row r="34" ht="38.25" customHeight="1" s="64">
      <c r="A34" s="58" t="inlineStr">
        <is>
          <t>Tank Bottom</t>
        </is>
      </c>
      <c r="B34" s="58" t="inlineStr">
        <is>
          <t>EL +928.290m</t>
        </is>
      </c>
      <c r="C34" s="58" t="inlineStr">
        <is>
          <t>—</t>
        </is>
      </c>
      <c r="D34" s="58" t="n"/>
    </row>
    <row r="35" ht="25.5" customHeight="1" s="64">
      <c r="A35" s="58" t="inlineStr">
        <is>
          <t>HL to LL Height</t>
        </is>
      </c>
      <c r="B35" s="58" t="inlineStr">
        <is>
          <t>700</t>
        </is>
      </c>
      <c r="C35" s="58" t="inlineStr">
        <is>
          <t>mm</t>
        </is>
      </c>
      <c r="D35" s="58" t="inlineStr">
        <is>
          <t>From drawing</t>
        </is>
      </c>
    </row>
    <row r="37">
      <c r="A37" s="47" t="inlineStr">
        <is>
          <t>MOTOR DATA (ABB)</t>
        </is>
      </c>
    </row>
    <row r="38">
      <c r="A38" s="56" t="inlineStr">
        <is>
          <t>Make</t>
        </is>
      </c>
      <c r="B38" s="58" t="inlineStr">
        <is>
          <t>ABB</t>
        </is>
      </c>
    </row>
    <row r="39">
      <c r="A39" s="56" t="inlineStr">
        <is>
          <t>Frame</t>
        </is>
      </c>
      <c r="B39" s="58" t="inlineStr">
        <is>
          <t>160M</t>
        </is>
      </c>
    </row>
    <row r="40">
      <c r="A40" s="56" t="inlineStr">
        <is>
          <t>Rating</t>
        </is>
      </c>
      <c r="B40" s="58" t="inlineStr">
        <is>
          <t>15 kW</t>
        </is>
      </c>
    </row>
    <row r="41">
      <c r="A41" s="56" t="inlineStr">
        <is>
          <t>Speed</t>
        </is>
      </c>
      <c r="B41" s="58" t="inlineStr">
        <is>
          <t>2940 RPM</t>
        </is>
      </c>
    </row>
    <row r="42">
      <c r="A42" s="56" t="inlineStr">
        <is>
          <t>Enclosure</t>
        </is>
      </c>
      <c r="B42" s="58" t="inlineStr">
        <is>
          <t>TEFC — IE3</t>
        </is>
      </c>
    </row>
    <row r="43">
      <c r="A43" s="56" t="inlineStr">
        <is>
          <t>Weight</t>
        </is>
      </c>
      <c r="B43" s="58" t="inlineStr">
        <is>
          <t>126 kg</t>
        </is>
      </c>
    </row>
    <row r="44">
      <c r="A44" s="56" t="inlineStr">
        <is>
          <t>Direction</t>
        </is>
      </c>
      <c r="B44" s="58" t="inlineStr">
        <is>
          <t>Clockwise from DE</t>
        </is>
      </c>
    </row>
    <row r="45">
      <c r="A45" s="56" t="inlineStr">
        <is>
          <t>Pump Shaft End Bore</t>
        </is>
      </c>
      <c r="B45" s="58" t="inlineStr">
        <is>
          <t>Ø24 mm</t>
        </is>
      </c>
    </row>
    <row r="46">
      <c r="A46" s="56" t="inlineStr">
        <is>
          <t>Motor Shaft End Bore</t>
        </is>
      </c>
      <c r="B46" s="58" t="inlineStr">
        <is>
          <t>Ø45 mm</t>
        </is>
      </c>
    </row>
    <row r="47">
      <c r="A47" s="56" t="inlineStr">
        <is>
          <t>Overall Height (with motor)</t>
        </is>
      </c>
      <c r="B47" s="58" t="inlineStr">
        <is>
          <t>2023 mm</t>
        </is>
      </c>
    </row>
    <row r="48">
      <c r="A48" s="56" t="inlineStr">
        <is>
          <t>Overall Height (without motor)</t>
        </is>
      </c>
      <c r="B48" s="58" t="inlineStr">
        <is>
          <t>1033 mm</t>
        </is>
      </c>
    </row>
    <row r="49">
      <c r="A49" s="56" t="inlineStr">
        <is>
          <t>Fixation Holes</t>
        </is>
      </c>
      <c r="B49" s="58" t="inlineStr">
        <is>
          <t>Ø20 mm</t>
        </is>
      </c>
    </row>
    <row r="50">
      <c r="A50" s="56" t="inlineStr">
        <is>
          <t>Fixing Bolts</t>
        </is>
      </c>
      <c r="B50" s="58" t="inlineStr">
        <is>
          <t>4 Nos M16 x 200 LG; Ø20 holes on mounting plate</t>
        </is>
      </c>
    </row>
    <row r="52">
      <c r="A52" s="47" t="inlineStr">
        <is>
          <t>FLANGE DETAILS — DISCHARGE DN65</t>
        </is>
      </c>
    </row>
    <row r="53" ht="25.5" customHeight="1" s="64">
      <c r="A53" s="59" t="inlineStr">
        <is>
          <t>Parameter</t>
        </is>
      </c>
      <c r="B53" s="59" t="inlineStr">
        <is>
          <t>Value</t>
        </is>
      </c>
      <c r="C53" s="59" t="inlineStr">
        <is>
          <t>Standard</t>
        </is>
      </c>
    </row>
    <row r="54" ht="25.5" customHeight="1" s="64">
      <c r="A54" s="58" t="inlineStr">
        <is>
          <t>Nozzle Size</t>
        </is>
      </c>
      <c r="B54" s="58" t="inlineStr">
        <is>
          <t>DN65</t>
        </is>
      </c>
      <c r="C54" s="58" t="inlineStr">
        <is>
          <t>ASME B16.5</t>
        </is>
      </c>
    </row>
    <row r="55" ht="25.5" customHeight="1" s="64">
      <c r="A55" s="58" t="inlineStr">
        <is>
          <t>Outer Diameter</t>
        </is>
      </c>
      <c r="B55" s="58" t="inlineStr">
        <is>
          <t>178 mm</t>
        </is>
      </c>
      <c r="C55" s="58" t="n"/>
    </row>
    <row r="56">
      <c r="A56" s="58" t="inlineStr">
        <is>
          <t>PCD</t>
        </is>
      </c>
      <c r="B56" s="58" t="inlineStr">
        <is>
          <t>139.7 mm</t>
        </is>
      </c>
      <c r="C56" s="58" t="n"/>
    </row>
    <row r="57">
      <c r="A57" s="58" t="inlineStr">
        <is>
          <t>BCD</t>
        </is>
      </c>
      <c r="B57" s="58" t="inlineStr">
        <is>
          <t>184.7 mm</t>
        </is>
      </c>
      <c r="C57" s="58" t="n"/>
    </row>
    <row r="58" ht="25.5" customHeight="1" s="64">
      <c r="A58" s="58" t="inlineStr">
        <is>
          <t>No. of Holes</t>
        </is>
      </c>
      <c r="B58" s="58" t="inlineStr">
        <is>
          <t>4</t>
        </is>
      </c>
      <c r="C58" s="58" t="n"/>
    </row>
    <row r="59">
      <c r="A59" s="58" t="inlineStr">
        <is>
          <t>Hole Size</t>
        </is>
      </c>
      <c r="B59" s="58" t="inlineStr">
        <is>
          <t>Ø19 mm</t>
        </is>
      </c>
      <c r="C59" s="58" t="n"/>
    </row>
    <row r="60" ht="38.25" customHeight="1" s="64">
      <c r="A60" s="58" t="inlineStr">
        <is>
          <t>Force Fy</t>
        </is>
      </c>
      <c r="B60" s="58" t="inlineStr">
        <is>
          <t>893 N</t>
        </is>
      </c>
      <c r="C60" s="58" t="inlineStr">
        <is>
          <t>Allowable nozzle load</t>
        </is>
      </c>
    </row>
    <row r="61">
      <c r="A61" s="58" t="inlineStr">
        <is>
          <t>Force Fz</t>
        </is>
      </c>
      <c r="B61" s="58" t="inlineStr">
        <is>
          <t>1103 N</t>
        </is>
      </c>
      <c r="C61" s="58" t="n"/>
    </row>
    <row r="62">
      <c r="A62" s="58" t="inlineStr">
        <is>
          <t>Force Fx</t>
        </is>
      </c>
      <c r="B62" s="58" t="inlineStr">
        <is>
          <t>971 N</t>
        </is>
      </c>
      <c r="C62" s="58" t="n"/>
    </row>
    <row r="63" ht="25.5" customHeight="1" s="64">
      <c r="A63" s="58" t="inlineStr">
        <is>
          <t>Moment My</t>
        </is>
      </c>
      <c r="B63" s="58" t="inlineStr">
        <is>
          <t>420 Nm</t>
        </is>
      </c>
      <c r="C63" s="58" t="n"/>
    </row>
    <row r="64" ht="25.5" customHeight="1" s="64">
      <c r="A64" s="58" t="inlineStr">
        <is>
          <t>Moment Mz</t>
        </is>
      </c>
      <c r="B64" s="58" t="inlineStr">
        <is>
          <t>490 Nm</t>
        </is>
      </c>
      <c r="C64" s="58" t="n"/>
    </row>
    <row r="65" ht="25.5" customHeight="1" s="64">
      <c r="A65" s="58" t="inlineStr">
        <is>
          <t>Moment Mx</t>
        </is>
      </c>
      <c r="B65" s="58" t="inlineStr">
        <is>
          <t>700 Nm</t>
        </is>
      </c>
      <c r="C65" s="58" t="n"/>
    </row>
    <row r="67">
      <c r="A67" s="47" t="inlineStr">
        <is>
          <t>WEIGHTS</t>
        </is>
      </c>
    </row>
    <row r="68" ht="25.5" customHeight="1" s="64">
      <c r="A68" s="59" t="inlineStr">
        <is>
          <t>Item</t>
        </is>
      </c>
      <c r="B68" s="59" t="inlineStr">
        <is>
          <t>Weight (kg)</t>
        </is>
      </c>
      <c r="C68" s="59" t="inlineStr">
        <is>
          <t>Notes</t>
        </is>
      </c>
    </row>
    <row r="69" ht="51" customHeight="1" s="64">
      <c r="A69" s="58" t="inlineStr">
        <is>
          <t>Pump (Empty)</t>
        </is>
      </c>
      <c r="B69" s="58" t="inlineStr">
        <is>
          <t>193</t>
        </is>
      </c>
      <c r="C69" s="58" t="inlineStr">
        <is>
          <t>From drawing data block</t>
        </is>
      </c>
    </row>
    <row r="70" ht="51" customHeight="1" s="64">
      <c r="A70" s="58" t="inlineStr">
        <is>
          <t>Pump (Operating — with liquid)</t>
        </is>
      </c>
      <c r="B70" s="58" t="inlineStr">
        <is>
          <t>243</t>
        </is>
      </c>
      <c r="C70" s="58" t="inlineStr">
        <is>
          <t>From drawing data block</t>
        </is>
      </c>
    </row>
    <row r="71" ht="51" customHeight="1" s="64">
      <c r="A71" s="58" t="inlineStr">
        <is>
          <t>Motor (ABB 15kW 160M)</t>
        </is>
      </c>
      <c r="B71" s="58" t="inlineStr">
        <is>
          <t>126</t>
        </is>
      </c>
      <c r="C71" s="58" t="inlineStr">
        <is>
          <t>From drawing data block</t>
        </is>
      </c>
    </row>
    <row r="72" ht="51" customHeight="1" s="64">
      <c r="A72" s="58" t="inlineStr">
        <is>
          <t>TOTAL WEIGHT</t>
        </is>
      </c>
      <c r="B72" s="58" t="inlineStr">
        <is>
          <t>319</t>
        </is>
      </c>
      <c r="C72" s="58" t="inlineStr">
        <is>
          <t>Pump empty 193 + Motor 126</t>
        </is>
      </c>
    </row>
    <row r="74">
      <c r="A74" s="47" t="inlineStr">
        <is>
          <t>SCOPE OF SUPPLY (KSB)</t>
        </is>
      </c>
    </row>
    <row r="75">
      <c r="A75" s="57" t="inlineStr">
        <is>
          <t>✓ Pump (STGC 050-160-CC-WDL)</t>
        </is>
      </c>
    </row>
    <row r="76">
      <c r="A76" s="57" t="inlineStr">
        <is>
          <t>✓ Suction Strainer</t>
        </is>
      </c>
    </row>
    <row r="77">
      <c r="A77" s="57" t="inlineStr">
        <is>
          <t>✓ Coupling (RB — Rathi make)</t>
        </is>
      </c>
    </row>
    <row r="78">
      <c r="A78" s="57" t="inlineStr">
        <is>
          <t>✓ Coupling Guard</t>
        </is>
      </c>
    </row>
    <row r="79">
      <c r="A79" s="57" t="inlineStr">
        <is>
          <t>✓ Motor (ABB 15kW 160M IE3)</t>
        </is>
      </c>
    </row>
    <row r="80">
      <c r="A80" s="57" t="inlineStr">
        <is>
          <t>✓ Mounting Plate</t>
        </is>
      </c>
    </row>
    <row r="81">
      <c r="A81" s="57" t="inlineStr">
        <is>
          <t>✓ Gasket &amp; Hardware</t>
        </is>
      </c>
    </row>
    <row r="82">
      <c r="A82" s="57" t="inlineStr">
        <is>
          <t>✓ 4 Nos Ø20 Fixing Bolts M16x200</t>
        </is>
      </c>
    </row>
    <row r="83">
      <c r="A83" s="60" t="inlineStr">
        <is>
          <t>✗ NOT in scope: Concrete block / civil foundation; V/S Drive</t>
        </is>
      </c>
    </row>
  </sheetData>
  <mergeCells count="36">
    <mergeCell ref="B48:M48"/>
    <mergeCell ref="B11:M11"/>
    <mergeCell ref="B42:M42"/>
    <mergeCell ref="A4:M4"/>
    <mergeCell ref="B8:M8"/>
    <mergeCell ref="B14:M14"/>
    <mergeCell ref="B17:M17"/>
    <mergeCell ref="B13:M13"/>
    <mergeCell ref="B44:M44"/>
    <mergeCell ref="A52:M52"/>
    <mergeCell ref="B38:M38"/>
    <mergeCell ref="B10:M10"/>
    <mergeCell ref="B19:M19"/>
    <mergeCell ref="A67:M67"/>
    <mergeCell ref="B40:M40"/>
    <mergeCell ref="B9:M9"/>
    <mergeCell ref="B49:M49"/>
    <mergeCell ref="B6:M6"/>
    <mergeCell ref="B15:M15"/>
    <mergeCell ref="A1:M1"/>
    <mergeCell ref="B5:M5"/>
    <mergeCell ref="B45:M45"/>
    <mergeCell ref="B50:M50"/>
    <mergeCell ref="B41:M41"/>
    <mergeCell ref="B47:M47"/>
    <mergeCell ref="B16:M16"/>
    <mergeCell ref="B7:M7"/>
    <mergeCell ref="A37:M37"/>
    <mergeCell ref="A74:M74"/>
    <mergeCell ref="B46:M46"/>
    <mergeCell ref="A21:M21"/>
    <mergeCell ref="B18:M18"/>
    <mergeCell ref="A2:M2"/>
    <mergeCell ref="B43:M43"/>
    <mergeCell ref="B12:M12"/>
    <mergeCell ref="B39:M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:M115"/>
    </sheetView>
  </sheetViews>
  <sheetFormatPr baseColWidth="8" defaultRowHeight="15"/>
  <sheetData>
    <row r="1" ht="17.25" customHeight="1" s="64">
      <c r="A1" s="48" t="inlineStr">
        <is>
          <t>DISSECTION SUMMARY — KSB VS6 PROCESS CONDENSATE PUMP (DS-ME-115)</t>
        </is>
      </c>
    </row>
    <row r="2">
      <c r="A2" s="32" t="inlineStr">
        <is>
          <t>Project: NALCO 1.0 MTPA Alumina Refinery Stream-5 | Doc: ZT2023.02-508-DS-ME-115 Rev 3 | Tags: 08PU-J5813A/B &amp; 08PU-K5813A/B | LSTK: Zetwerk</t>
        </is>
      </c>
    </row>
    <row r="4">
      <c r="A4" s="47" t="inlineStr">
        <is>
          <t>PUMP IDENTITY</t>
        </is>
      </c>
    </row>
    <row r="5">
      <c r="A5" s="56" t="inlineStr">
        <is>
          <t>Pump Model</t>
        </is>
      </c>
      <c r="B5" s="58" t="inlineStr">
        <is>
          <t>KSB VS6 (API 610 VS6 or equivalent)</t>
        </is>
      </c>
    </row>
    <row r="6">
      <c r="A6" s="56" t="inlineStr">
        <is>
          <t>Manufacturer</t>
        </is>
      </c>
      <c r="B6" s="58" t="inlineStr">
        <is>
          <t>KSB Limited (India) — VTA (Vendor to Advise)</t>
        </is>
      </c>
    </row>
    <row r="7">
      <c r="A7" s="56" t="inlineStr">
        <is>
          <t>Tag Numbers</t>
        </is>
      </c>
      <c r="B7" s="58" t="inlineStr">
        <is>
          <t>08PU-J5813A/B &amp; 08PU-K5813A/B</t>
        </is>
      </c>
    </row>
    <row r="8">
      <c r="A8" s="56" t="inlineStr">
        <is>
          <t>Quantity</t>
        </is>
      </c>
      <c r="B8" s="58" t="inlineStr">
        <is>
          <t>4 Nos. (2 each for Evaporation Unit J &amp; K)</t>
        </is>
      </c>
    </row>
    <row r="9">
      <c r="A9" s="56" t="inlineStr">
        <is>
          <t>Service</t>
        </is>
      </c>
      <c r="B9" s="58" t="inlineStr">
        <is>
          <t>Process Condensate Pump</t>
        </is>
      </c>
    </row>
    <row r="10">
      <c r="A10" s="56" t="inlineStr">
        <is>
          <t>Location</t>
        </is>
      </c>
      <c r="B10" s="58" t="inlineStr">
        <is>
          <t>Evaporation Unit J &amp; K, Damanjodi, Odisha — Outdoor</t>
        </is>
      </c>
    </row>
    <row r="11">
      <c r="A11" s="56" t="inlineStr">
        <is>
          <t>Elevation</t>
        </is>
      </c>
      <c r="B11" s="58" t="inlineStr">
        <is>
          <t>900 m above sea level</t>
        </is>
      </c>
    </row>
    <row r="12">
      <c r="A12" s="56" t="inlineStr">
        <is>
          <t>Ambient Pressure (design)</t>
        </is>
      </c>
      <c r="B12" s="58" t="inlineStr">
        <is>
          <t>89 kPa</t>
        </is>
      </c>
    </row>
    <row r="13">
      <c r="A13" s="56" t="inlineStr">
        <is>
          <t>Ambient Temperature</t>
        </is>
      </c>
      <c r="B13" s="58" t="inlineStr">
        <is>
          <t>3°C min / 50°C max</t>
        </is>
      </c>
    </row>
    <row r="14">
      <c r="A14" s="56" t="inlineStr">
        <is>
          <t>Type</t>
        </is>
      </c>
      <c r="B14" s="58" t="inlineStr">
        <is>
          <t>API 610 VS6 or equivalent — Double-Casing, Diffuser, Inline Suction &amp; Discharge</t>
        </is>
      </c>
    </row>
    <row r="15">
      <c r="A15" s="56" t="inlineStr">
        <is>
          <t>Configuration</t>
        </is>
      </c>
      <c r="B15" s="58" t="inlineStr">
        <is>
          <t>Each Unit: 1 Working + 1 Standby</t>
        </is>
      </c>
    </row>
    <row r="16">
      <c r="A16" s="56" t="inlineStr">
        <is>
          <t>Operation</t>
        </is>
      </c>
      <c r="B16" s="58" t="inlineStr">
        <is>
          <t>Single pump, continuous, variable speed (VSD by purchaser)</t>
        </is>
      </c>
    </row>
    <row r="17">
      <c r="A17" s="56" t="inlineStr">
        <is>
          <t>Design Standard</t>
        </is>
      </c>
      <c r="B17" s="58" t="inlineStr">
        <is>
          <t>Vendor Standard / API 610</t>
        </is>
      </c>
    </row>
    <row r="18">
      <c r="A18" s="56" t="inlineStr">
        <is>
          <t>Datasheet Doc</t>
        </is>
      </c>
      <c r="B18" s="58" t="inlineStr">
        <is>
          <t>ZT2023.02-508-DS-ME-115 Rev 3</t>
        </is>
      </c>
    </row>
    <row r="19">
      <c r="A19" s="56" t="inlineStr">
        <is>
          <t>Condensate Pot Tag</t>
        </is>
      </c>
      <c r="B19" s="58" t="inlineStr">
        <is>
          <t>08PV-J/K-5813 (discharge nozzle at 0.53m above ground)</t>
        </is>
      </c>
    </row>
    <row r="20">
      <c r="A20" s="56" t="inlineStr">
        <is>
          <t>Note on NPSH</t>
        </is>
      </c>
      <c r="B20" s="58" t="inlineStr">
        <is>
          <t>NPSHA=0.5m — VS6 type specifically required for very low NPSH operation</t>
        </is>
      </c>
    </row>
    <row r="22">
      <c r="A22" s="47" t="inlineStr">
        <is>
          <t>PUMP PERFORMANCE — THREE OPERATING POINTS</t>
        </is>
      </c>
    </row>
    <row r="23" ht="25.5" customHeight="1" s="64">
      <c r="A23" s="59" t="inlineStr">
        <is>
          <t>Parameter</t>
        </is>
      </c>
      <c r="B23" s="59" t="inlineStr">
        <is>
          <t>OP1 MinFlow</t>
        </is>
      </c>
      <c r="C23" s="59" t="inlineStr">
        <is>
          <t>OP2 Normal</t>
        </is>
      </c>
      <c r="D23" s="59" t="inlineStr">
        <is>
          <t>OP3 MaxFlow</t>
        </is>
      </c>
      <c r="E23" s="59" t="inlineStr">
        <is>
          <t>Rated</t>
        </is>
      </c>
      <c r="F23" s="59" t="inlineStr">
        <is>
          <t>Units</t>
        </is>
      </c>
    </row>
    <row r="24" ht="25.5" customHeight="1" s="64">
      <c r="A24" s="58" t="inlineStr">
        <is>
          <t>Volume Flow</t>
        </is>
      </c>
      <c r="B24" s="58" t="inlineStr">
        <is>
          <t>99</t>
        </is>
      </c>
      <c r="C24" s="58" t="inlineStr">
        <is>
          <t>141</t>
        </is>
      </c>
      <c r="D24" s="58" t="inlineStr">
        <is>
          <t>198</t>
        </is>
      </c>
      <c r="E24" s="58" t="inlineStr">
        <is>
          <t>172</t>
        </is>
      </c>
      <c r="F24" s="58" t="inlineStr">
        <is>
          <t>m³/h</t>
        </is>
      </c>
    </row>
    <row r="25" ht="25.5" customHeight="1" s="64">
      <c r="A25" s="58" t="inlineStr">
        <is>
          <t>Pump Head</t>
        </is>
      </c>
      <c r="B25" s="58" t="inlineStr">
        <is>
          <t>73.2</t>
        </is>
      </c>
      <c r="C25" s="58" t="inlineStr">
        <is>
          <t>73.7</t>
        </is>
      </c>
      <c r="D25" s="58" t="inlineStr">
        <is>
          <t>75.0</t>
        </is>
      </c>
      <c r="E25" s="58" t="inlineStr">
        <is>
          <t>74.3</t>
        </is>
      </c>
      <c r="F25" s="58" t="inlineStr">
        <is>
          <t>m</t>
        </is>
      </c>
    </row>
    <row r="26" ht="38.25" customHeight="1" s="64">
      <c r="A26" s="58" t="inlineStr">
        <is>
          <t>Operating Temperature</t>
        </is>
      </c>
      <c r="B26" s="58" t="inlineStr">
        <is>
          <t>47</t>
        </is>
      </c>
      <c r="C26" s="58" t="inlineStr">
        <is>
          <t>47</t>
        </is>
      </c>
      <c r="D26" s="58" t="inlineStr">
        <is>
          <t>47</t>
        </is>
      </c>
      <c r="E26" s="58" t="inlineStr">
        <is>
          <t>47</t>
        </is>
      </c>
      <c r="F26" s="58" t="inlineStr">
        <is>
          <t>°C</t>
        </is>
      </c>
    </row>
    <row r="27">
      <c r="A27" s="58" t="inlineStr">
        <is>
          <t>Density</t>
        </is>
      </c>
      <c r="B27" s="58" t="inlineStr">
        <is>
          <t>990</t>
        </is>
      </c>
      <c r="C27" s="58" t="inlineStr">
        <is>
          <t>990</t>
        </is>
      </c>
      <c r="D27" s="58" t="inlineStr">
        <is>
          <t>990</t>
        </is>
      </c>
      <c r="E27" s="58" t="inlineStr">
        <is>
          <t>990</t>
        </is>
      </c>
      <c r="F27" s="58" t="inlineStr">
        <is>
          <t>kg/m³</t>
        </is>
      </c>
    </row>
    <row r="28" ht="25.5" customHeight="1" s="64">
      <c r="A28" s="58" t="inlineStr">
        <is>
          <t>Dynamic Viscosity</t>
        </is>
      </c>
      <c r="B28" s="58" t="inlineStr">
        <is>
          <t>0.6</t>
        </is>
      </c>
      <c r="C28" s="58" t="inlineStr">
        <is>
          <t>0.6</t>
        </is>
      </c>
      <c r="D28" s="58" t="inlineStr">
        <is>
          <t>0.6</t>
        </is>
      </c>
      <c r="E28" s="58" t="inlineStr">
        <is>
          <t>0.6</t>
        </is>
      </c>
      <c r="F28" s="58" t="inlineStr">
        <is>
          <t>mPa.s</t>
        </is>
      </c>
    </row>
    <row r="29" ht="38.25" customHeight="1" s="64">
      <c r="A29" s="58" t="inlineStr">
        <is>
          <t>Vapour Pressure (abs)</t>
        </is>
      </c>
      <c r="B29" s="58" t="inlineStr">
        <is>
          <t>10</t>
        </is>
      </c>
      <c r="C29" s="58" t="inlineStr">
        <is>
          <t>10</t>
        </is>
      </c>
      <c r="D29" s="58" t="inlineStr">
        <is>
          <t>10</t>
        </is>
      </c>
      <c r="E29" s="58" t="inlineStr">
        <is>
          <t>10</t>
        </is>
      </c>
      <c r="F29" s="58" t="inlineStr">
        <is>
          <t>kPa(a)</t>
        </is>
      </c>
    </row>
    <row r="30" ht="38.25" customHeight="1" s="64">
      <c r="A30" s="58" t="inlineStr">
        <is>
          <t>Inlet Pressure (gauge)</t>
        </is>
      </c>
      <c r="B30" s="58" t="inlineStr">
        <is>
          <t>-74</t>
        </is>
      </c>
      <c r="C30" s="58" t="inlineStr">
        <is>
          <t>-74</t>
        </is>
      </c>
      <c r="D30" s="58" t="inlineStr">
        <is>
          <t>-76</t>
        </is>
      </c>
      <c r="E30" s="58" t="inlineStr">
        <is>
          <t>-74</t>
        </is>
      </c>
      <c r="F30" s="58" t="inlineStr">
        <is>
          <t>kPa(g)</t>
        </is>
      </c>
    </row>
    <row r="31" ht="38.25" customHeight="1" s="64">
      <c r="A31" s="58" t="inlineStr">
        <is>
          <t>Differential Pressure</t>
        </is>
      </c>
      <c r="B31" s="58" t="inlineStr">
        <is>
          <t>711</t>
        </is>
      </c>
      <c r="C31" s="58" t="inlineStr">
        <is>
          <t>716</t>
        </is>
      </c>
      <c r="D31" s="58" t="inlineStr">
        <is>
          <t>728</t>
        </is>
      </c>
      <c r="E31" s="58" t="inlineStr">
        <is>
          <t>—</t>
        </is>
      </c>
      <c r="F31" s="58" t="inlineStr">
        <is>
          <t>kPa</t>
        </is>
      </c>
    </row>
    <row r="32">
      <c r="A32" s="58" t="inlineStr">
        <is>
          <t>NPSHA</t>
        </is>
      </c>
      <c r="B32" s="58" t="inlineStr">
        <is>
          <t>—</t>
        </is>
      </c>
      <c r="C32" s="58" t="inlineStr">
        <is>
          <t>—</t>
        </is>
      </c>
      <c r="D32" s="58" t="inlineStr">
        <is>
          <t>—</t>
        </is>
      </c>
      <c r="E32" s="58" t="inlineStr">
        <is>
          <t>0.5</t>
        </is>
      </c>
      <c r="F32" s="58" t="inlineStr">
        <is>
          <t>m</t>
        </is>
      </c>
    </row>
    <row r="33" ht="25.5" customHeight="1" s="64">
      <c r="A33" s="58" t="inlineStr">
        <is>
          <t>Speed (nominal)</t>
        </is>
      </c>
      <c r="B33" s="58" t="inlineStr">
        <is>
          <t>—</t>
        </is>
      </c>
      <c r="C33" s="58" t="inlineStr">
        <is>
          <t>—</t>
        </is>
      </c>
      <c r="D33" s="58" t="inlineStr">
        <is>
          <t>—</t>
        </is>
      </c>
      <c r="E33" s="58" t="inlineStr">
        <is>
          <t>1450</t>
        </is>
      </c>
      <c r="F33" s="58" t="inlineStr">
        <is>
          <t>rpm (VSD)</t>
        </is>
      </c>
    </row>
    <row r="34" ht="25.5" customHeight="1" s="64">
      <c r="A34" s="58" t="inlineStr">
        <is>
          <t>Shaft Power</t>
        </is>
      </c>
      <c r="B34" s="58" t="inlineStr">
        <is>
          <t>—</t>
        </is>
      </c>
      <c r="C34" s="58" t="inlineStr">
        <is>
          <t>—</t>
        </is>
      </c>
      <c r="D34" s="58" t="inlineStr">
        <is>
          <t>—</t>
        </is>
      </c>
      <c r="E34" s="58" t="inlineStr">
        <is>
          <t>VTA</t>
        </is>
      </c>
      <c r="F34" s="58" t="inlineStr">
        <is>
          <t>kW</t>
        </is>
      </c>
    </row>
    <row r="35" ht="25.5" customHeight="1" s="64">
      <c r="A35" s="58" t="inlineStr">
        <is>
          <t>Motor Rating</t>
        </is>
      </c>
      <c r="B35" s="58" t="inlineStr">
        <is>
          <t>—</t>
        </is>
      </c>
      <c r="C35" s="58" t="inlineStr">
        <is>
          <t>—</t>
        </is>
      </c>
      <c r="D35" s="58" t="inlineStr">
        <is>
          <t>—</t>
        </is>
      </c>
      <c r="E35" s="58" t="inlineStr">
        <is>
          <t>VTA</t>
        </is>
      </c>
      <c r="F35" s="58" t="inlineStr">
        <is>
          <t>kW</t>
        </is>
      </c>
    </row>
    <row r="36">
      <c r="A36" s="58" t="inlineStr">
        <is>
          <t>Efficiency</t>
        </is>
      </c>
      <c r="B36" s="58" t="inlineStr">
        <is>
          <t>—</t>
        </is>
      </c>
      <c r="C36" s="58" t="inlineStr">
        <is>
          <t>—</t>
        </is>
      </c>
      <c r="D36" s="58" t="inlineStr">
        <is>
          <t>—</t>
        </is>
      </c>
      <c r="E36" s="58" t="inlineStr">
        <is>
          <t>VTA</t>
        </is>
      </c>
      <c r="F36" s="58" t="inlineStr">
        <is>
          <t>%</t>
        </is>
      </c>
    </row>
    <row r="37">
      <c r="A37" s="58" t="inlineStr">
        <is>
          <t>NPSHR</t>
        </is>
      </c>
      <c r="B37" s="58" t="inlineStr">
        <is>
          <t>—</t>
        </is>
      </c>
      <c r="C37" s="58" t="inlineStr">
        <is>
          <t>—</t>
        </is>
      </c>
      <c r="D37" s="58" t="inlineStr">
        <is>
          <t>—</t>
        </is>
      </c>
      <c r="E37" s="58" t="inlineStr">
        <is>
          <t>VTA</t>
        </is>
      </c>
      <c r="F37" s="58" t="inlineStr">
        <is>
          <t>m</t>
        </is>
      </c>
    </row>
    <row r="38" ht="38.25" customHeight="1" s="64">
      <c r="A38" s="58" t="inlineStr">
        <is>
          <t>Min Allowable Flow</t>
        </is>
      </c>
      <c r="B38" s="58" t="inlineStr">
        <is>
          <t>—</t>
        </is>
      </c>
      <c r="C38" s="58" t="inlineStr">
        <is>
          <t>—</t>
        </is>
      </c>
      <c r="D38" s="58" t="inlineStr">
        <is>
          <t>—</t>
        </is>
      </c>
      <c r="E38" s="58" t="inlineStr">
        <is>
          <t>VTA</t>
        </is>
      </c>
      <c r="F38" s="58" t="inlineStr">
        <is>
          <t>m³/h</t>
        </is>
      </c>
    </row>
    <row r="40">
      <c r="A40" s="47" t="inlineStr">
        <is>
          <t>MATERIAL OF CONSTRUCTION</t>
        </is>
      </c>
    </row>
    <row r="41" ht="25.5" customHeight="1" s="64">
      <c r="A41" s="59" t="inlineStr">
        <is>
          <t>Component</t>
        </is>
      </c>
      <c r="B41" s="59" t="inlineStr">
        <is>
          <t>Material</t>
        </is>
      </c>
      <c r="C41" s="59" t="inlineStr">
        <is>
          <t>Standard/Spec</t>
        </is>
      </c>
      <c r="D41" s="59" t="inlineStr">
        <is>
          <t>Notes</t>
        </is>
      </c>
    </row>
    <row r="42" ht="38.25" customHeight="1" s="64">
      <c r="A42" s="58" t="inlineStr">
        <is>
          <t>Suction Casing</t>
        </is>
      </c>
      <c r="B42" s="58" t="inlineStr">
        <is>
          <t>CS ASTM A216 Gr WCB</t>
        </is>
      </c>
      <c r="C42" s="58" t="inlineStr">
        <is>
          <t>ASTM A216</t>
        </is>
      </c>
      <c r="D42" s="58" t="inlineStr">
        <is>
          <t>Carbon steel casting</t>
        </is>
      </c>
    </row>
    <row r="43" ht="38.25" customHeight="1" s="64">
      <c r="A43" s="58" t="inlineStr">
        <is>
          <t>Stage Casing</t>
        </is>
      </c>
      <c r="B43" s="58" t="inlineStr">
        <is>
          <t>CS ASTM A216 Gr WCB</t>
        </is>
      </c>
      <c r="C43" s="58" t="inlineStr">
        <is>
          <t>ASTM A216</t>
        </is>
      </c>
      <c r="D43" s="58" t="inlineStr">
        <is>
          <t>Carbon steel casting</t>
        </is>
      </c>
    </row>
    <row r="44" ht="38.25" customHeight="1" s="64">
      <c r="A44" s="58" t="inlineStr">
        <is>
          <t>Discharge Casing</t>
        </is>
      </c>
      <c r="B44" s="58" t="inlineStr">
        <is>
          <t>CS ASTM A216 Gr WCB</t>
        </is>
      </c>
      <c r="C44" s="58" t="inlineStr">
        <is>
          <t>ASTM A216</t>
        </is>
      </c>
      <c r="D44" s="58" t="inlineStr">
        <is>
          <t>Carbon steel casting</t>
        </is>
      </c>
    </row>
    <row r="45" ht="25.5" customHeight="1" s="64">
      <c r="A45" s="58" t="inlineStr">
        <is>
          <t>Diffuser</t>
        </is>
      </c>
      <c r="B45" s="58" t="inlineStr">
        <is>
          <t>VTA</t>
        </is>
      </c>
      <c r="C45" s="58" t="inlineStr">
        <is>
          <t>—</t>
        </is>
      </c>
      <c r="D45" s="58" t="inlineStr">
        <is>
          <t>Vendor to advise</t>
        </is>
      </c>
    </row>
    <row r="46" ht="63.75" customHeight="1" s="64">
      <c r="A46" s="58" t="inlineStr">
        <is>
          <t>Impeller</t>
        </is>
      </c>
      <c r="B46" s="58" t="inlineStr">
        <is>
          <t>SS 2324 (Lean Duplex)</t>
        </is>
      </c>
      <c r="C46" s="58" t="inlineStr">
        <is>
          <t>SS 2324</t>
        </is>
      </c>
      <c r="D46" s="58" t="inlineStr">
        <is>
          <t>Better corrosion resistance than SS304</t>
        </is>
      </c>
    </row>
    <row r="47" ht="25.5" customHeight="1" s="64">
      <c r="A47" s="58" t="inlineStr">
        <is>
          <t>Impeller Wear Ring</t>
        </is>
      </c>
      <c r="B47" s="58" t="inlineStr">
        <is>
          <t>VTA</t>
        </is>
      </c>
      <c r="C47" s="58" t="inlineStr">
        <is>
          <t>—</t>
        </is>
      </c>
      <c r="D47" s="58" t="n"/>
    </row>
    <row r="48" ht="25.5" customHeight="1" s="64">
      <c r="A48" s="58" t="inlineStr">
        <is>
          <t>Case Wear Ring</t>
        </is>
      </c>
      <c r="B48" s="58" t="inlineStr">
        <is>
          <t>VTA</t>
        </is>
      </c>
      <c r="C48" s="58" t="inlineStr">
        <is>
          <t>—</t>
        </is>
      </c>
      <c r="D48" s="58" t="n"/>
    </row>
    <row r="49" ht="25.5" customHeight="1" s="64">
      <c r="A49" s="58" t="inlineStr">
        <is>
          <t>Bearing Housing</t>
        </is>
      </c>
      <c r="B49" s="58" t="inlineStr">
        <is>
          <t>VTA</t>
        </is>
      </c>
      <c r="C49" s="58" t="inlineStr">
        <is>
          <t>—</t>
        </is>
      </c>
      <c r="D49" s="58" t="n"/>
    </row>
    <row r="50">
      <c r="A50" s="58" t="inlineStr">
        <is>
          <t>Shaft</t>
        </is>
      </c>
      <c r="B50" s="58" t="inlineStr">
        <is>
          <t>VTA</t>
        </is>
      </c>
      <c r="C50" s="58" t="inlineStr">
        <is>
          <t>—</t>
        </is>
      </c>
      <c r="D50" s="58" t="n"/>
    </row>
    <row r="51" ht="25.5" customHeight="1" s="64">
      <c r="A51" s="58" t="inlineStr">
        <is>
          <t>Shaft Sleeve</t>
        </is>
      </c>
      <c r="B51" s="58" t="inlineStr">
        <is>
          <t>VTA</t>
        </is>
      </c>
      <c r="C51" s="58" t="inlineStr">
        <is>
          <t>—</t>
        </is>
      </c>
      <c r="D51" s="58" t="n"/>
    </row>
    <row r="52" ht="25.5" customHeight="1" s="64">
      <c r="A52" s="58" t="inlineStr">
        <is>
          <t>Stuffing Box</t>
        </is>
      </c>
      <c r="B52" s="58" t="inlineStr">
        <is>
          <t>VTA</t>
        </is>
      </c>
      <c r="C52" s="58" t="inlineStr">
        <is>
          <t>—</t>
        </is>
      </c>
      <c r="D52" s="58" t="n"/>
    </row>
    <row r="53" ht="25.5" customHeight="1" s="64">
      <c r="A53" s="58" t="inlineStr">
        <is>
          <t>Casing Bolts</t>
        </is>
      </c>
      <c r="B53" s="58" t="inlineStr">
        <is>
          <t>VTA</t>
        </is>
      </c>
      <c r="C53" s="58" t="inlineStr">
        <is>
          <t>—</t>
        </is>
      </c>
      <c r="D53" s="58" t="n"/>
    </row>
    <row r="54" ht="25.5" customHeight="1" s="64">
      <c r="A54" s="58" t="inlineStr">
        <is>
          <t>Gland / Seal Plate</t>
        </is>
      </c>
      <c r="B54" s="58" t="inlineStr">
        <is>
          <t>VTA</t>
        </is>
      </c>
      <c r="C54" s="58" t="inlineStr">
        <is>
          <t>—</t>
        </is>
      </c>
      <c r="D54" s="58" t="n"/>
    </row>
    <row r="55" ht="25.5" customHeight="1" s="64">
      <c r="A55" s="58" t="inlineStr">
        <is>
          <t>Base Frame</t>
        </is>
      </c>
      <c r="B55" s="58" t="inlineStr">
        <is>
          <t>Carbon Steel</t>
        </is>
      </c>
      <c r="C55" s="58" t="inlineStr">
        <is>
          <t>—</t>
        </is>
      </c>
      <c r="D55" s="58" t="inlineStr">
        <is>
          <t>CS as specified</t>
        </is>
      </c>
    </row>
    <row r="56">
      <c r="A56" s="58" t="inlineStr">
        <is>
          <t>Base Plate</t>
        </is>
      </c>
      <c r="B56" s="58" t="inlineStr">
        <is>
          <t>VTA</t>
        </is>
      </c>
      <c r="C56" s="58" t="inlineStr">
        <is>
          <t>—</t>
        </is>
      </c>
      <c r="D56" s="58" t="n"/>
    </row>
    <row r="57" ht="25.5" customHeight="1" s="64">
      <c r="A57" s="58" t="inlineStr">
        <is>
          <t>Coupling Halves</t>
        </is>
      </c>
      <c r="B57" s="58" t="inlineStr">
        <is>
          <t>VTA</t>
        </is>
      </c>
      <c r="C57" s="58" t="inlineStr">
        <is>
          <t>—</t>
        </is>
      </c>
      <c r="D57" s="58" t="n"/>
    </row>
    <row r="59">
      <c r="A59" s="47" t="inlineStr">
        <is>
          <t>CONSTRUCTION FEATURES (VTA = Vendor to Advise)</t>
        </is>
      </c>
    </row>
    <row r="60">
      <c r="A60" s="56" t="inlineStr">
        <is>
          <t>Volute Casing Type/Split</t>
        </is>
      </c>
      <c r="B60" s="58" t="inlineStr">
        <is>
          <t>VTA</t>
        </is>
      </c>
    </row>
    <row r="61">
      <c r="A61" s="56" t="inlineStr">
        <is>
          <t>No. of Stages</t>
        </is>
      </c>
      <c r="B61" s="58" t="inlineStr">
        <is>
          <t>VTA</t>
        </is>
      </c>
    </row>
    <row r="62">
      <c r="A62" s="56" t="inlineStr">
        <is>
          <t>Type of Impeller</t>
        </is>
      </c>
      <c r="B62" s="58" t="inlineStr">
        <is>
          <t>VTA</t>
        </is>
      </c>
    </row>
    <row r="63">
      <c r="A63" s="56" t="inlineStr">
        <is>
          <t>Impeller Diameter (Min/Max)</t>
        </is>
      </c>
      <c r="B63" s="58" t="inlineStr">
        <is>
          <t>VTA</t>
        </is>
      </c>
    </row>
    <row r="64">
      <c r="A64" s="56" t="inlineStr">
        <is>
          <t>Casing Test Pressure</t>
        </is>
      </c>
      <c r="B64" s="58" t="inlineStr">
        <is>
          <t>VTA</t>
        </is>
      </c>
    </row>
    <row r="65">
      <c r="A65" s="56" t="inlineStr">
        <is>
          <t>Casing Mounting</t>
        </is>
      </c>
      <c r="B65" s="58" t="inlineStr">
        <is>
          <t>VTA</t>
        </is>
      </c>
    </row>
    <row r="66">
      <c r="A66" s="56" t="inlineStr">
        <is>
          <t>Drive Type</t>
        </is>
      </c>
      <c r="B66" s="58" t="inlineStr">
        <is>
          <t>Flexible coupling with spacer</t>
        </is>
      </c>
    </row>
    <row r="67">
      <c r="A67" s="56" t="inlineStr">
        <is>
          <t>Bearings</t>
        </is>
      </c>
      <c r="B67" s="58" t="inlineStr">
        <is>
          <t>VTA</t>
        </is>
      </c>
    </row>
    <row r="68">
      <c r="A68" s="56" t="inlineStr">
        <is>
          <t>Lubrication</t>
        </is>
      </c>
      <c r="B68" s="58" t="inlineStr">
        <is>
          <t>VTA</t>
        </is>
      </c>
    </row>
    <row r="69">
      <c r="A69" s="56" t="inlineStr">
        <is>
          <t>Shaft Seal</t>
        </is>
      </c>
      <c r="B69" s="58" t="inlineStr">
        <is>
          <t>Mechanical Seal (seal flushing plan — vendor to advise per Ref #06)</t>
        </is>
      </c>
    </row>
    <row r="70">
      <c r="A70" s="56" t="inlineStr">
        <is>
          <t>Thrust Balancing</t>
        </is>
      </c>
      <c r="B70" s="58" t="inlineStr">
        <is>
          <t>VTA</t>
        </is>
      </c>
    </row>
    <row r="71">
      <c r="A71" s="56" t="inlineStr">
        <is>
          <t>Flange Standard &amp; Rating</t>
        </is>
      </c>
      <c r="B71" s="58" t="inlineStr">
        <is>
          <t>ASME (125-250 AARH surface finish)</t>
        </is>
      </c>
    </row>
    <row r="72">
      <c r="A72" s="56" t="inlineStr">
        <is>
          <t>Cooling Plan</t>
        </is>
      </c>
      <c r="B72" s="58" t="inlineStr">
        <is>
          <t>VTA</t>
        </is>
      </c>
    </row>
    <row r="73">
      <c r="A73" s="56" t="inlineStr">
        <is>
          <t>Seal Flushing Plan</t>
        </is>
      </c>
      <c r="B73" s="58" t="inlineStr">
        <is>
          <t>VTA</t>
        </is>
      </c>
    </row>
    <row r="74">
      <c r="A74" s="56" t="inlineStr">
        <is>
          <t>Noise Level</t>
        </is>
      </c>
      <c r="B74" s="58" t="inlineStr">
        <is>
          <t>≤ 85 dB(A) at 1m periphery</t>
        </is>
      </c>
    </row>
    <row r="75">
      <c r="A75" s="56" t="inlineStr">
        <is>
          <t>Vibration Limit</t>
        </is>
      </c>
      <c r="B75" s="58" t="inlineStr">
        <is>
          <t>VTA</t>
        </is>
      </c>
    </row>
    <row r="76">
      <c r="A76" s="56" t="inlineStr">
        <is>
          <t>GD² of Pump + Coupling</t>
        </is>
      </c>
      <c r="B76" s="58" t="inlineStr">
        <is>
          <t>VTA</t>
        </is>
      </c>
    </row>
    <row r="77">
      <c r="A77" s="56" t="inlineStr">
        <is>
          <t>Direction of Rotation</t>
        </is>
      </c>
      <c r="B77" s="58" t="inlineStr">
        <is>
          <t>VTA</t>
        </is>
      </c>
    </row>
    <row r="78">
      <c r="A78" s="56" t="inlineStr">
        <is>
          <t>Painting Spec</t>
        </is>
      </c>
      <c r="B78" s="58" t="inlineStr">
        <is>
          <t>6695-EQS-G00-EC-0007</t>
        </is>
      </c>
    </row>
    <row r="80">
      <c r="A80" s="47" t="inlineStr">
        <is>
          <t>MOTOR DATA</t>
        </is>
      </c>
    </row>
    <row r="81">
      <c r="A81" s="56" t="inlineStr">
        <is>
          <t>Motor Type</t>
        </is>
      </c>
      <c r="B81" s="58" t="inlineStr">
        <is>
          <t>Squirrel Cage Induction Motor</t>
        </is>
      </c>
    </row>
    <row r="82">
      <c r="A82" s="56" t="inlineStr">
        <is>
          <t>Nominal Power</t>
        </is>
      </c>
      <c r="B82" s="58" t="inlineStr">
        <is>
          <t>VTA</t>
        </is>
      </c>
    </row>
    <row r="83">
      <c r="A83" s="56" t="inlineStr">
        <is>
          <t>Poles / Nominal Speed</t>
        </is>
      </c>
      <c r="B83" s="58" t="inlineStr">
        <is>
          <t>4 Pole / VTA rpm</t>
        </is>
      </c>
    </row>
    <row r="84">
      <c r="A84" s="56" t="inlineStr">
        <is>
          <t>Voltage / Frequency</t>
        </is>
      </c>
      <c r="B84" s="58" t="inlineStr">
        <is>
          <t>415V ±10% / 50Hz +3%/-5% / 3-Phase</t>
        </is>
      </c>
    </row>
    <row r="85">
      <c r="A85" s="56" t="inlineStr">
        <is>
          <t>Ambient Temperature</t>
        </is>
      </c>
      <c r="B85" s="58" t="inlineStr">
        <is>
          <t>50°C</t>
        </is>
      </c>
    </row>
    <row r="86">
      <c r="A86" s="56" t="inlineStr">
        <is>
          <t>Motor Provided By</t>
        </is>
      </c>
      <c r="B86" s="58" t="inlineStr">
        <is>
          <t>Pump Vendor</t>
        </is>
      </c>
    </row>
    <row r="87">
      <c r="A87" s="56" t="inlineStr">
        <is>
          <t>Drive Method</t>
        </is>
      </c>
      <c r="B87" s="58" t="inlineStr">
        <is>
          <t>VSD (Variable Speed Drive — VSD by Purchaser)</t>
        </is>
      </c>
    </row>
    <row r="88">
      <c r="A88" s="56" t="inlineStr">
        <is>
          <t>Motor Spec Doc</t>
        </is>
      </c>
      <c r="B88" s="58" t="inlineStr">
        <is>
          <t>6695-ELT-G00-EC-0012</t>
        </is>
      </c>
    </row>
    <row r="90">
      <c r="A90" s="47" t="inlineStr">
        <is>
          <t>SCOPE OF SUPPLY</t>
        </is>
      </c>
    </row>
    <row r="91">
      <c r="A91" s="57" t="inlineStr">
        <is>
          <t>✓ Pump (VS6 double-casing diffuser)</t>
        </is>
      </c>
    </row>
    <row r="92">
      <c r="A92" s="57" t="inlineStr">
        <is>
          <t>✓ Motor (squirrel cage)</t>
        </is>
      </c>
    </row>
    <row r="93">
      <c r="A93" s="57" t="inlineStr">
        <is>
          <t>✓ Common Base Frame (CS)</t>
        </is>
      </c>
    </row>
    <row r="94">
      <c r="A94" s="57" t="inlineStr">
        <is>
          <t>✓ Coupling &amp; Coupling Guard</t>
        </is>
      </c>
    </row>
    <row r="95">
      <c r="A95" s="57" t="inlineStr">
        <is>
          <t>✓ Companion Flanges with Gaskets &amp; Fasteners</t>
        </is>
      </c>
    </row>
    <row r="96">
      <c r="A96" s="57" t="inlineStr">
        <is>
          <t>✓ Foundation Bolts</t>
        </is>
      </c>
    </row>
    <row r="97">
      <c r="A97" s="57" t="inlineStr">
        <is>
          <t>✓ Suction Strainer (start-up type)</t>
        </is>
      </c>
    </row>
    <row r="98">
      <c r="A98" s="57" t="inlineStr">
        <is>
          <t>✓ Mechanical Seal</t>
        </is>
      </c>
    </row>
    <row r="99">
      <c r="A99" s="57" t="inlineStr">
        <is>
          <t>✓ First Fill Lubricants</t>
        </is>
      </c>
    </row>
    <row r="100">
      <c r="A100" s="60" t="inlineStr">
        <is>
          <t>✗ NOT in scope: Suction &amp; Discharge Valves; VSD (by purchaser)</t>
        </is>
      </c>
    </row>
    <row r="102">
      <c r="A102" s="47" t="inlineStr">
        <is>
          <t>COMPARISON — LIVE STEAM CONDENSATE (DS-114) vs PROCESS CONDENSATE (DS-115)</t>
        </is>
      </c>
    </row>
    <row r="103" ht="63.75" customHeight="1" s="64">
      <c r="A103" s="59" t="inlineStr">
        <is>
          <t>Parameter</t>
        </is>
      </c>
      <c r="B103" s="59" t="inlineStr">
        <is>
          <t>Live Steam Condensate (DS-114)</t>
        </is>
      </c>
      <c r="C103" s="59" t="inlineStr">
        <is>
          <t>Process Condensate (DS-115)</t>
        </is>
      </c>
      <c r="D103" s="59" t="inlineStr">
        <is>
          <t>Notes</t>
        </is>
      </c>
    </row>
    <row r="104" ht="38.25" customHeight="1" s="64">
      <c r="A104" s="58" t="inlineStr">
        <is>
          <t>Tags</t>
        </is>
      </c>
      <c r="B104" s="58" t="inlineStr">
        <is>
          <t>08PU-J/K5821A/B</t>
        </is>
      </c>
      <c r="C104" s="58" t="inlineStr">
        <is>
          <t>08PU-J/K5813A/B</t>
        </is>
      </c>
      <c r="D104" s="58" t="n"/>
    </row>
    <row r="105" ht="38.25" customHeight="1" s="64">
      <c r="A105" s="58" t="inlineStr">
        <is>
          <t>Rated Flow</t>
        </is>
      </c>
      <c r="B105" s="58" t="inlineStr">
        <is>
          <t>44.5 m³/h</t>
        </is>
      </c>
      <c r="C105" s="58" t="inlineStr">
        <is>
          <t>172 m³/h</t>
        </is>
      </c>
      <c r="D105" s="58" t="inlineStr">
        <is>
          <t>PC pump ~4x higher flow</t>
        </is>
      </c>
    </row>
    <row r="106" ht="63.75" customHeight="1" s="64">
      <c r="A106" s="58" t="inlineStr">
        <is>
          <t>Rated Head</t>
        </is>
      </c>
      <c r="B106" s="58" t="inlineStr">
        <is>
          <t>113.2 m</t>
        </is>
      </c>
      <c r="C106" s="58" t="inlineStr">
        <is>
          <t>74.3 m</t>
        </is>
      </c>
      <c r="D106" s="58" t="inlineStr">
        <is>
          <t>LSC pump higher head (deeper well)</t>
        </is>
      </c>
    </row>
    <row r="107" ht="76.5" customHeight="1" s="64">
      <c r="A107" s="58" t="inlineStr">
        <is>
          <t>Temperature</t>
        </is>
      </c>
      <c r="B107" s="58" t="inlineStr">
        <is>
          <t>136°C (rated) / 148°C (max)</t>
        </is>
      </c>
      <c r="C107" s="58" t="inlineStr">
        <is>
          <t>47°C</t>
        </is>
      </c>
      <c r="D107" s="58" t="inlineStr">
        <is>
          <t>LSC is high temp — condensate from live steam</t>
        </is>
      </c>
    </row>
    <row r="108" ht="38.25" customHeight="1" s="64">
      <c r="A108" s="58" t="inlineStr">
        <is>
          <t>Density</t>
        </is>
      </c>
      <c r="B108" s="58" t="inlineStr">
        <is>
          <t>930 kg/m³</t>
        </is>
      </c>
      <c r="C108" s="58" t="inlineStr">
        <is>
          <t>990 kg/m³</t>
        </is>
      </c>
      <c r="D108" s="58" t="inlineStr">
        <is>
          <t>LSC hotter → lower density</t>
        </is>
      </c>
    </row>
    <row r="109" ht="63.75" customHeight="1" s="64">
      <c r="A109" s="58" t="inlineStr">
        <is>
          <t>Vapour Pressure</t>
        </is>
      </c>
      <c r="B109" s="58" t="inlineStr">
        <is>
          <t>320 kPa(a)</t>
        </is>
      </c>
      <c r="C109" s="58" t="inlineStr">
        <is>
          <t>10 kPa(a)</t>
        </is>
      </c>
      <c r="D109" s="58" t="inlineStr">
        <is>
          <t>LSC near saturation — critical NPSH</t>
        </is>
      </c>
    </row>
    <row r="110" ht="63.75" customHeight="1" s="64">
      <c r="A110" s="58" t="inlineStr">
        <is>
          <t>Inlet Pressure</t>
        </is>
      </c>
      <c r="B110" s="58" t="inlineStr">
        <is>
          <t>235 kPa(g) positive</t>
        </is>
      </c>
      <c r="C110" s="58" t="inlineStr">
        <is>
          <t>−74 kPa(g) negative</t>
        </is>
      </c>
      <c r="D110" s="58" t="inlineStr">
        <is>
          <t>PC pump has suction under vacuum</t>
        </is>
      </c>
    </row>
    <row r="111" ht="25.5" customHeight="1" s="64">
      <c r="A111" s="58" t="inlineStr">
        <is>
          <t>Motor</t>
        </is>
      </c>
      <c r="B111" s="58" t="inlineStr">
        <is>
          <t>30 kW (fixed)</t>
        </is>
      </c>
      <c r="C111" s="58" t="inlineStr">
        <is>
          <t>VTA</t>
        </is>
      </c>
      <c r="D111" s="58" t="n"/>
    </row>
    <row r="112" ht="51" customHeight="1" s="64">
      <c r="A112" s="58" t="inlineStr">
        <is>
          <t>Impeller MOC</t>
        </is>
      </c>
      <c r="B112" s="58" t="inlineStr">
        <is>
          <t>SS304</t>
        </is>
      </c>
      <c r="C112" s="58" t="inlineStr">
        <is>
          <t>SS 2324 (Lean Duplex)</t>
        </is>
      </c>
      <c r="D112" s="58" t="inlineStr">
        <is>
          <t>Different corrosion requirements</t>
        </is>
      </c>
    </row>
    <row r="113" ht="51" customHeight="1" s="64">
      <c r="A113" s="58" t="inlineStr">
        <is>
          <t>Casing MOC</t>
        </is>
      </c>
      <c r="B113" s="58" t="inlineStr">
        <is>
          <t>SS304 throughout</t>
        </is>
      </c>
      <c r="C113" s="58" t="inlineStr">
        <is>
          <t>CS WCB casing / SS2324 impeller</t>
        </is>
      </c>
      <c r="D113" s="58" t="inlineStr">
        <is>
          <t>PC uses CS for casing</t>
        </is>
      </c>
    </row>
    <row r="114" ht="25.5" customHeight="1" s="64">
      <c r="A114" s="58" t="inlineStr">
        <is>
          <t>Total Weight</t>
        </is>
      </c>
      <c r="B114" s="58" t="inlineStr">
        <is>
          <t>1561 kg</t>
        </is>
      </c>
      <c r="C114" s="58" t="inlineStr">
        <is>
          <t>VTA</t>
        </is>
      </c>
      <c r="D114" s="58" t="n"/>
    </row>
    <row r="115" ht="76.5" customHeight="1" s="64">
      <c r="A115" s="58" t="inlineStr">
        <is>
          <t>NPSHA</t>
        </is>
      </c>
      <c r="B115" s="58" t="inlineStr">
        <is>
          <t>0.5 m</t>
        </is>
      </c>
      <c r="C115" s="58" t="inlineStr">
        <is>
          <t>0.5 m</t>
        </is>
      </c>
      <c r="D115" s="58" t="inlineStr">
        <is>
          <t>Both critically low — VS6 required for both</t>
        </is>
      </c>
    </row>
  </sheetData>
  <mergeCells count="52">
    <mergeCell ref="B70:M70"/>
    <mergeCell ref="B86:M86"/>
    <mergeCell ref="B11:M11"/>
    <mergeCell ref="B60:M60"/>
    <mergeCell ref="B67:M67"/>
    <mergeCell ref="A22:M22"/>
    <mergeCell ref="B61:M61"/>
    <mergeCell ref="A4:M4"/>
    <mergeCell ref="B8:M8"/>
    <mergeCell ref="B14:M14"/>
    <mergeCell ref="B17:M17"/>
    <mergeCell ref="B13:M13"/>
    <mergeCell ref="B88:M88"/>
    <mergeCell ref="B82:M82"/>
    <mergeCell ref="B73:M73"/>
    <mergeCell ref="B69:M69"/>
    <mergeCell ref="B87:M87"/>
    <mergeCell ref="B78:M78"/>
    <mergeCell ref="B10:M10"/>
    <mergeCell ref="A102:M102"/>
    <mergeCell ref="B19:M19"/>
    <mergeCell ref="A40:M40"/>
    <mergeCell ref="B84:M84"/>
    <mergeCell ref="B9:M9"/>
    <mergeCell ref="A59:M59"/>
    <mergeCell ref="B74:M74"/>
    <mergeCell ref="B65:M65"/>
    <mergeCell ref="B68:M68"/>
    <mergeCell ref="B83:M83"/>
    <mergeCell ref="B6:M6"/>
    <mergeCell ref="B64:M64"/>
    <mergeCell ref="B15:M15"/>
    <mergeCell ref="A1:M1"/>
    <mergeCell ref="B5:M5"/>
    <mergeCell ref="B20:M20"/>
    <mergeCell ref="B76:M76"/>
    <mergeCell ref="B63:M63"/>
    <mergeCell ref="B85:M85"/>
    <mergeCell ref="B75:M75"/>
    <mergeCell ref="A90:M90"/>
    <mergeCell ref="B16:M16"/>
    <mergeCell ref="B81:M81"/>
    <mergeCell ref="B62:M62"/>
    <mergeCell ref="B7:M7"/>
    <mergeCell ref="A80:M80"/>
    <mergeCell ref="B72:M72"/>
    <mergeCell ref="B71:M71"/>
    <mergeCell ref="B66:M66"/>
    <mergeCell ref="B18:M18"/>
    <mergeCell ref="A2:M2"/>
    <mergeCell ref="B12:M12"/>
    <mergeCell ref="B77:M7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J22" sqref="J22"/>
    </sheetView>
  </sheetViews>
  <sheetFormatPr baseColWidth="8" defaultRowHeight="15"/>
  <sheetData>
    <row r="1" ht="17.25" customHeight="1" s="64">
      <c r="A1" s="48" t="inlineStr">
        <is>
          <t>DISSECTION SUMMARY — KSB WKT 80/9 LIVE STEAM CONDENSATE PUMP</t>
        </is>
      </c>
    </row>
    <row r="2">
      <c r="A2" s="32" t="inlineStr">
        <is>
          <t>Project: NALCO 1.0 MTPA Alumina Refinery Stream-5 | KSB Order: 9975603447/300 | Client PO: ZET-OD-KSB2-1 DT.19/10/2024 | Drawing: F9975603447-300-1 As Built</t>
        </is>
      </c>
    </row>
    <row r="4">
      <c r="A4" s="47" t="inlineStr">
        <is>
          <t>PUMP IDENTITY</t>
        </is>
      </c>
    </row>
    <row r="5">
      <c r="A5" s="56" t="inlineStr">
        <is>
          <t>Pump Model</t>
        </is>
      </c>
      <c r="B5" s="58" t="inlineStr">
        <is>
          <t>KSB WKT 80/9</t>
        </is>
      </c>
    </row>
    <row r="6">
      <c r="A6" s="56" t="inlineStr">
        <is>
          <t>Manufacturer</t>
        </is>
      </c>
      <c r="B6" s="58" t="inlineStr">
        <is>
          <t>KSB Limited (India)</t>
        </is>
      </c>
    </row>
    <row r="7">
      <c r="A7" s="56" t="inlineStr">
        <is>
          <t>KSB Order No.</t>
        </is>
      </c>
      <c r="B7" s="58" t="inlineStr">
        <is>
          <t>9975603447/300/400</t>
        </is>
      </c>
    </row>
    <row r="8">
      <c r="A8" s="56" t="inlineStr">
        <is>
          <t>Client P.O. No.</t>
        </is>
      </c>
      <c r="B8" s="58" t="inlineStr">
        <is>
          <t>ZET-OD-KSB2-1 DT.19/10/2024</t>
        </is>
      </c>
    </row>
    <row r="9">
      <c r="A9" s="56" t="inlineStr">
        <is>
          <t>Tag Numbers</t>
        </is>
      </c>
      <c r="B9" s="58" t="inlineStr">
        <is>
          <t>08PU-J5821A/B &amp; 08PU-K5821A/B</t>
        </is>
      </c>
    </row>
    <row r="10">
      <c r="A10" s="56" t="inlineStr">
        <is>
          <t>Quantity</t>
        </is>
      </c>
      <c r="B10" s="58" t="inlineStr">
        <is>
          <t>4 Nos. (2 each for Evaporation Unit J &amp; K)</t>
        </is>
      </c>
    </row>
    <row r="11">
      <c r="A11" s="56" t="inlineStr">
        <is>
          <t>Service</t>
        </is>
      </c>
      <c r="B11" s="58" t="inlineStr">
        <is>
          <t>Live Steam Condensate</t>
        </is>
      </c>
    </row>
    <row r="12">
      <c r="A12" s="56" t="inlineStr">
        <is>
          <t>Location</t>
        </is>
      </c>
      <c r="B12" s="58" t="inlineStr">
        <is>
          <t>Evaporation Unit J &amp; K, Damanjodi, Odisha</t>
        </is>
      </c>
    </row>
    <row r="13">
      <c r="A13" s="56" t="inlineStr">
        <is>
          <t>Elevation</t>
        </is>
      </c>
      <c r="B13" s="58" t="inlineStr">
        <is>
          <t>900m above sea level</t>
        </is>
      </c>
    </row>
    <row r="14">
      <c r="A14" s="56" t="inlineStr">
        <is>
          <t>Type</t>
        </is>
      </c>
      <c r="B14" s="58" t="inlineStr">
        <is>
          <t>API 610 VS6 — Double-Casing, Diffuser, Inline Suction &amp; Discharge, Vertical Turbine Pump</t>
        </is>
      </c>
    </row>
    <row r="15">
      <c r="A15" s="56" t="inlineStr">
        <is>
          <t>Configuration</t>
        </is>
      </c>
      <c r="B15" s="58" t="inlineStr">
        <is>
          <t>Each Unit: 1 Working + 1 Standby</t>
        </is>
      </c>
    </row>
    <row r="16">
      <c r="A16" s="56" t="inlineStr">
        <is>
          <t>Direction of Rotation</t>
        </is>
      </c>
      <c r="B16" s="58" t="inlineStr">
        <is>
          <t>CCW — seen from coupling end</t>
        </is>
      </c>
    </row>
    <row r="17">
      <c r="A17" s="56" t="inlineStr">
        <is>
          <t>Sealing Arrangement</t>
        </is>
      </c>
      <c r="B17" s="58" t="inlineStr">
        <is>
          <t>Plan 13 + 61</t>
        </is>
      </c>
    </row>
    <row r="18">
      <c r="A18" s="56" t="inlineStr">
        <is>
          <t>Datasheet Ref</t>
        </is>
      </c>
      <c r="B18" s="58" t="inlineStr">
        <is>
          <t>ZT2023.02-508-DS-ME-114 Rev 3</t>
        </is>
      </c>
    </row>
    <row r="19">
      <c r="A19" s="56" t="inlineStr">
        <is>
          <t>Drawing Ref</t>
        </is>
      </c>
      <c r="B19" s="58" t="inlineStr">
        <is>
          <t>F9975603447-300-1 As Built</t>
        </is>
      </c>
    </row>
    <row r="21">
      <c r="A21" s="47" t="inlineStr">
        <is>
          <t>PUMP PERFORMANCE</t>
        </is>
      </c>
    </row>
    <row r="22" ht="25.5" customHeight="1" s="64">
      <c r="A22" s="59" t="inlineStr">
        <is>
          <t>Parameter</t>
        </is>
      </c>
      <c r="B22" s="59" t="inlineStr">
        <is>
          <t>Min Flow (OP1)</t>
        </is>
      </c>
      <c r="C22" s="59" t="inlineStr">
        <is>
          <t>Normal (OP2)</t>
        </is>
      </c>
      <c r="D22" s="59" t="inlineStr">
        <is>
          <t>Max Flow (OP3)</t>
        </is>
      </c>
      <c r="E22" s="59" t="inlineStr">
        <is>
          <t>Rated</t>
        </is>
      </c>
      <c r="F22" s="59" t="inlineStr">
        <is>
          <t>Units</t>
        </is>
      </c>
    </row>
    <row r="23" ht="25.5" customHeight="1" s="64">
      <c r="A23" s="58" t="inlineStr">
        <is>
          <t>Volume Flow</t>
        </is>
      </c>
      <c r="B23" s="58" t="inlineStr">
        <is>
          <t>24</t>
        </is>
      </c>
      <c r="C23" s="58" t="inlineStr">
        <is>
          <t>34</t>
        </is>
      </c>
      <c r="D23" s="58" t="inlineStr">
        <is>
          <t>50</t>
        </is>
      </c>
      <c r="E23" s="58" t="inlineStr">
        <is>
          <t>44.5</t>
        </is>
      </c>
      <c r="F23" s="58" t="inlineStr">
        <is>
          <t>m³/h</t>
        </is>
      </c>
    </row>
    <row r="24" ht="25.5" customHeight="1" s="64">
      <c r="A24" s="58" t="inlineStr">
        <is>
          <t>Pump Head</t>
        </is>
      </c>
      <c r="B24" s="58" t="inlineStr">
        <is>
          <t>110.6</t>
        </is>
      </c>
      <c r="C24" s="58" t="inlineStr">
        <is>
          <t>111.6</t>
        </is>
      </c>
      <c r="D24" s="58" t="inlineStr">
        <is>
          <t>114.1</t>
        </is>
      </c>
      <c r="E24" s="58" t="inlineStr">
        <is>
          <t>113.2</t>
        </is>
      </c>
      <c r="F24" s="58" t="inlineStr">
        <is>
          <t>m</t>
        </is>
      </c>
    </row>
    <row r="25" ht="38.25" customHeight="1" s="64">
      <c r="A25" s="58" t="inlineStr">
        <is>
          <t>Operating Temperature</t>
        </is>
      </c>
      <c r="B25" s="58" t="inlineStr">
        <is>
          <t>136</t>
        </is>
      </c>
      <c r="C25" s="58" t="inlineStr">
        <is>
          <t>136</t>
        </is>
      </c>
      <c r="D25" s="58" t="inlineStr">
        <is>
          <t>148</t>
        </is>
      </c>
      <c r="E25" s="58" t="inlineStr">
        <is>
          <t>136</t>
        </is>
      </c>
      <c r="F25" s="58" t="inlineStr">
        <is>
          <t>°C</t>
        </is>
      </c>
    </row>
    <row r="26">
      <c r="A26" s="58" t="inlineStr">
        <is>
          <t>Density</t>
        </is>
      </c>
      <c r="B26" s="58" t="inlineStr">
        <is>
          <t>930</t>
        </is>
      </c>
      <c r="C26" s="58" t="inlineStr">
        <is>
          <t>930</t>
        </is>
      </c>
      <c r="D26" s="58" t="inlineStr">
        <is>
          <t>920</t>
        </is>
      </c>
      <c r="E26" s="58" t="inlineStr">
        <is>
          <t>930</t>
        </is>
      </c>
      <c r="F26" s="58" t="inlineStr">
        <is>
          <t>kg/m³</t>
        </is>
      </c>
    </row>
    <row r="27" ht="25.5" customHeight="1" s="64">
      <c r="A27" s="58" t="inlineStr">
        <is>
          <t>Dynamic Viscosity</t>
        </is>
      </c>
      <c r="B27" s="58" t="inlineStr">
        <is>
          <t>0.2</t>
        </is>
      </c>
      <c r="C27" s="58" t="inlineStr">
        <is>
          <t>0.2</t>
        </is>
      </c>
      <c r="D27" s="58" t="inlineStr">
        <is>
          <t>0.185</t>
        </is>
      </c>
      <c r="E27" s="58" t="inlineStr">
        <is>
          <t>0.2</t>
        </is>
      </c>
      <c r="F27" s="58" t="inlineStr">
        <is>
          <t>mPa.s</t>
        </is>
      </c>
    </row>
    <row r="28" ht="38.25" customHeight="1" s="64">
      <c r="A28" s="58" t="inlineStr">
        <is>
          <t>Vapour Pressure (abs)</t>
        </is>
      </c>
      <c r="B28" s="58" t="inlineStr">
        <is>
          <t>320</t>
        </is>
      </c>
      <c r="C28" s="58" t="inlineStr">
        <is>
          <t>320</t>
        </is>
      </c>
      <c r="D28" s="58" t="inlineStr">
        <is>
          <t>446</t>
        </is>
      </c>
      <c r="E28" s="58" t="inlineStr">
        <is>
          <t>320</t>
        </is>
      </c>
      <c r="F28" s="58" t="inlineStr">
        <is>
          <t>kPa(a)</t>
        </is>
      </c>
    </row>
    <row r="29" ht="38.25" customHeight="1" s="64">
      <c r="A29" s="58" t="inlineStr">
        <is>
          <t>Inlet Pressure (gauge)</t>
        </is>
      </c>
      <c r="B29" s="58" t="inlineStr">
        <is>
          <t>235</t>
        </is>
      </c>
      <c r="C29" s="58" t="inlineStr">
        <is>
          <t>235</t>
        </is>
      </c>
      <c r="D29" s="58" t="inlineStr">
        <is>
          <t>235</t>
        </is>
      </c>
      <c r="E29" s="58" t="inlineStr">
        <is>
          <t>235</t>
        </is>
      </c>
      <c r="F29" s="58" t="inlineStr">
        <is>
          <t>kPa(g)</t>
        </is>
      </c>
    </row>
    <row r="30" ht="38.25" customHeight="1" s="64">
      <c r="A30" s="58" t="inlineStr">
        <is>
          <t>Differential Pressure</t>
        </is>
      </c>
      <c r="B30" s="58" t="inlineStr">
        <is>
          <t>1009</t>
        </is>
      </c>
      <c r="C30" s="58" t="inlineStr">
        <is>
          <t>1018</t>
        </is>
      </c>
      <c r="D30" s="58" t="inlineStr">
        <is>
          <t>1041</t>
        </is>
      </c>
      <c r="E30" s="58" t="inlineStr">
        <is>
          <t>—</t>
        </is>
      </c>
      <c r="F30" s="58" t="inlineStr">
        <is>
          <t>kPa</t>
        </is>
      </c>
    </row>
    <row r="31">
      <c r="A31" s="58" t="inlineStr">
        <is>
          <t>NPSHA</t>
        </is>
      </c>
      <c r="B31" s="58" t="inlineStr">
        <is>
          <t>—</t>
        </is>
      </c>
      <c r="C31" s="58" t="inlineStr">
        <is>
          <t>—</t>
        </is>
      </c>
      <c r="D31" s="58" t="inlineStr">
        <is>
          <t>—</t>
        </is>
      </c>
      <c r="E31" s="58" t="inlineStr">
        <is>
          <t>0.5</t>
        </is>
      </c>
      <c r="F31" s="58" t="inlineStr">
        <is>
          <t>m</t>
        </is>
      </c>
    </row>
    <row r="32">
      <c r="A32" s="58" t="inlineStr">
        <is>
          <t>Speed</t>
        </is>
      </c>
      <c r="B32" s="58" t="inlineStr">
        <is>
          <t>—</t>
        </is>
      </c>
      <c r="C32" s="58" t="inlineStr">
        <is>
          <t>—</t>
        </is>
      </c>
      <c r="D32" s="58" t="inlineStr">
        <is>
          <t>—</t>
        </is>
      </c>
      <c r="E32" s="58" t="inlineStr">
        <is>
          <t>1480</t>
        </is>
      </c>
      <c r="F32" s="58" t="inlineStr">
        <is>
          <t>rpm</t>
        </is>
      </c>
    </row>
    <row r="33" ht="38.25" customHeight="1" s="64">
      <c r="A33" s="58" t="inlineStr">
        <is>
          <t>Shaft Power (BKW)</t>
        </is>
      </c>
      <c r="B33" s="58" t="inlineStr">
        <is>
          <t>—</t>
        </is>
      </c>
      <c r="C33" s="58" t="inlineStr">
        <is>
          <t>—</t>
        </is>
      </c>
      <c r="D33" s="58" t="inlineStr">
        <is>
          <t>—</t>
        </is>
      </c>
      <c r="E33" s="58" t="inlineStr">
        <is>
          <t>24.26</t>
        </is>
      </c>
      <c r="F33" s="58" t="inlineStr">
        <is>
          <t>kW</t>
        </is>
      </c>
    </row>
    <row r="34" ht="25.5" customHeight="1" s="64">
      <c r="A34" s="58" t="inlineStr">
        <is>
          <t>Motor Power</t>
        </is>
      </c>
      <c r="B34" s="58" t="inlineStr">
        <is>
          <t>—</t>
        </is>
      </c>
      <c r="C34" s="58" t="inlineStr">
        <is>
          <t>—</t>
        </is>
      </c>
      <c r="D34" s="58" t="inlineStr">
        <is>
          <t>—</t>
        </is>
      </c>
      <c r="E34" s="58" t="inlineStr">
        <is>
          <t>30</t>
        </is>
      </c>
      <c r="F34" s="58" t="inlineStr">
        <is>
          <t>kW</t>
        </is>
      </c>
    </row>
    <row r="35">
      <c r="A35" s="58" t="inlineStr">
        <is>
          <t>Efficiency</t>
        </is>
      </c>
      <c r="B35" s="58" t="inlineStr">
        <is>
          <t>—</t>
        </is>
      </c>
      <c r="C35" s="58" t="inlineStr">
        <is>
          <t>—</t>
        </is>
      </c>
      <c r="D35" s="58" t="inlineStr">
        <is>
          <t>—</t>
        </is>
      </c>
      <c r="E35" s="58" t="inlineStr">
        <is>
          <t>75%</t>
        </is>
      </c>
      <c r="F35" s="58" t="inlineStr">
        <is>
          <t>%</t>
        </is>
      </c>
    </row>
    <row r="37">
      <c r="A37" s="47" t="inlineStr">
        <is>
          <t>MATERIAL OF CONSTRUCTION</t>
        </is>
      </c>
    </row>
    <row r="38" ht="25.5" customHeight="1" s="64">
      <c r="A38" s="59" t="inlineStr">
        <is>
          <t>Component</t>
        </is>
      </c>
      <c r="B38" s="59" t="inlineStr">
        <is>
          <t>Material</t>
        </is>
      </c>
      <c r="C38" s="59" t="inlineStr">
        <is>
          <t>Standard/Spec</t>
        </is>
      </c>
      <c r="D38" s="59" t="inlineStr">
        <is>
          <t>Notes</t>
        </is>
      </c>
    </row>
    <row r="39" ht="63.75" customHeight="1" s="64">
      <c r="A39" s="58" t="inlineStr">
        <is>
          <t>Bowl Shaft</t>
        </is>
      </c>
      <c r="B39" s="58" t="inlineStr">
        <is>
          <t>SS304</t>
        </is>
      </c>
      <c r="C39" s="58" t="inlineStr">
        <is>
          <t>AISI 304</t>
        </is>
      </c>
      <c r="D39" s="58" t="inlineStr">
        <is>
          <t>Double-casing diffuser bowl assembly</t>
        </is>
      </c>
    </row>
    <row r="40" ht="25.5" customHeight="1" s="64">
      <c r="A40" s="58" t="inlineStr">
        <is>
          <t>Bowl</t>
        </is>
      </c>
      <c r="B40" s="58" t="inlineStr">
        <is>
          <t>SS304</t>
        </is>
      </c>
      <c r="C40" s="58" t="inlineStr">
        <is>
          <t>AISI 304</t>
        </is>
      </c>
      <c r="D40" s="58" t="inlineStr">
        <is>
          <t>Stage casing</t>
        </is>
      </c>
    </row>
    <row r="41" ht="38.25" customHeight="1" s="64">
      <c r="A41" s="58" t="inlineStr">
        <is>
          <t>Impeller</t>
        </is>
      </c>
      <c r="B41" s="58" t="inlineStr">
        <is>
          <t>SS304</t>
        </is>
      </c>
      <c r="C41" s="58" t="inlineStr">
        <is>
          <t>AISI 304</t>
        </is>
      </c>
      <c r="D41" s="58" t="inlineStr">
        <is>
          <t>Closed type; dia VTA</t>
        </is>
      </c>
    </row>
    <row r="42" ht="25.5" customHeight="1" s="64">
      <c r="A42" s="58" t="inlineStr">
        <is>
          <t>Suction Bell</t>
        </is>
      </c>
      <c r="B42" s="58" t="inlineStr">
        <is>
          <t>SS304</t>
        </is>
      </c>
      <c r="C42" s="58" t="inlineStr">
        <is>
          <t>AISI 304</t>
        </is>
      </c>
      <c r="D42" s="58" t="inlineStr">
        <is>
          <t>Inlet bell</t>
        </is>
      </c>
    </row>
    <row r="43" ht="25.5" customHeight="1" s="64">
      <c r="A43" s="58" t="inlineStr">
        <is>
          <t>Bowl Adapter</t>
        </is>
      </c>
      <c r="B43" s="58" t="inlineStr">
        <is>
          <t>VTA</t>
        </is>
      </c>
      <c r="C43" s="58" t="inlineStr">
        <is>
          <t>—</t>
        </is>
      </c>
      <c r="D43" s="58" t="inlineStr">
        <is>
          <t>Vendor to advise</t>
        </is>
      </c>
    </row>
    <row r="44" ht="38.25" customHeight="1" s="64">
      <c r="A44" s="58" t="inlineStr">
        <is>
          <t>Bearing Sleeve (Bowl)</t>
        </is>
      </c>
      <c r="B44" s="58" t="inlineStr">
        <is>
          <t>VTA</t>
        </is>
      </c>
      <c r="C44" s="58" t="inlineStr">
        <is>
          <t>—</t>
        </is>
      </c>
      <c r="D44" s="58" t="n"/>
    </row>
    <row r="45" ht="25.5" customHeight="1" s="64">
      <c r="A45" s="58" t="inlineStr">
        <is>
          <t>Bowl Wear Ring</t>
        </is>
      </c>
      <c r="B45" s="58" t="inlineStr">
        <is>
          <t>VTA</t>
        </is>
      </c>
      <c r="C45" s="58" t="inlineStr">
        <is>
          <t>—</t>
        </is>
      </c>
      <c r="D45" s="58" t="n"/>
    </row>
    <row r="46">
      <c r="A46" s="58" t="inlineStr">
        <is>
          <t>O-Ring</t>
        </is>
      </c>
      <c r="B46" s="58" t="inlineStr">
        <is>
          <t>VTA</t>
        </is>
      </c>
      <c r="C46" s="58" t="inlineStr">
        <is>
          <t>—</t>
        </is>
      </c>
      <c r="D46" s="58" t="n"/>
    </row>
    <row r="47" ht="25.5" customHeight="1" s="64">
      <c r="A47" s="58" t="inlineStr">
        <is>
          <t>Column Pipe</t>
        </is>
      </c>
      <c r="B47" s="58" t="inlineStr">
        <is>
          <t>SS304</t>
        </is>
      </c>
      <c r="C47" s="58" t="inlineStr">
        <is>
          <t>AISI 304</t>
        </is>
      </c>
      <c r="D47" s="58" t="n"/>
    </row>
    <row r="48">
      <c r="A48" s="58" t="inlineStr">
        <is>
          <t>Line Shaft</t>
        </is>
      </c>
      <c r="B48" s="58" t="inlineStr">
        <is>
          <t>SS304</t>
        </is>
      </c>
      <c r="C48" s="58" t="inlineStr">
        <is>
          <t>AISI 304</t>
        </is>
      </c>
      <c r="D48" s="58" t="n"/>
    </row>
    <row r="49" ht="25.5" customHeight="1" s="64">
      <c r="A49" s="58" t="inlineStr">
        <is>
          <t>Bearing Retainer</t>
        </is>
      </c>
      <c r="B49" s="58" t="inlineStr">
        <is>
          <t>VTA</t>
        </is>
      </c>
      <c r="C49" s="58" t="inlineStr">
        <is>
          <t>—</t>
        </is>
      </c>
      <c r="D49" s="58" t="n"/>
    </row>
    <row r="50" ht="51" customHeight="1" s="64">
      <c r="A50" s="58" t="inlineStr">
        <is>
          <t>Bearing Sleeve (Line Shaft)</t>
        </is>
      </c>
      <c r="B50" s="58" t="inlineStr">
        <is>
          <t>VTA</t>
        </is>
      </c>
      <c r="C50" s="58" t="inlineStr">
        <is>
          <t>—</t>
        </is>
      </c>
      <c r="D50" s="58" t="n"/>
    </row>
    <row r="51" ht="25.5" customHeight="1" s="64">
      <c r="A51" s="58" t="inlineStr">
        <is>
          <t>Shaft Sleeve</t>
        </is>
      </c>
      <c r="B51" s="58" t="inlineStr">
        <is>
          <t>SS316</t>
        </is>
      </c>
      <c r="C51" s="58" t="inlineStr">
        <is>
          <t>AISI 316</t>
        </is>
      </c>
      <c r="D51" s="58" t="n"/>
    </row>
    <row r="52" ht="25.5" customHeight="1" s="64">
      <c r="A52" s="58" t="inlineStr">
        <is>
          <t>Shaft Coupling</t>
        </is>
      </c>
      <c r="B52" s="58" t="inlineStr">
        <is>
          <t>SS316</t>
        </is>
      </c>
      <c r="C52" s="58" t="inlineStr">
        <is>
          <t>AISI 316</t>
        </is>
      </c>
      <c r="D52" s="58" t="n"/>
    </row>
    <row r="53" ht="38.25" customHeight="1" s="64">
      <c r="A53" s="58" t="inlineStr">
        <is>
          <t>Column Pipe Fasteners</t>
        </is>
      </c>
      <c r="B53" s="58" t="inlineStr">
        <is>
          <t>SS316</t>
        </is>
      </c>
      <c r="C53" s="58" t="inlineStr">
        <is>
          <t>AISI 316</t>
        </is>
      </c>
      <c r="D53" s="58" t="n"/>
    </row>
    <row r="54" ht="25.5" customHeight="1" s="64">
      <c r="A54" s="58" t="inlineStr">
        <is>
          <t>Discharge Head</t>
        </is>
      </c>
      <c r="B54" s="58" t="inlineStr">
        <is>
          <t>SS304</t>
        </is>
      </c>
      <c r="C54" s="58" t="inlineStr">
        <is>
          <t>AISI 304</t>
        </is>
      </c>
      <c r="D54" s="58" t="n"/>
    </row>
    <row r="55">
      <c r="A55" s="58" t="inlineStr">
        <is>
          <t>Top Shaft</t>
        </is>
      </c>
      <c r="B55" s="58" t="inlineStr">
        <is>
          <t>VTA</t>
        </is>
      </c>
      <c r="C55" s="58" t="inlineStr">
        <is>
          <t>—</t>
        </is>
      </c>
      <c r="D55" s="58" t="n"/>
    </row>
    <row r="56" ht="51" customHeight="1" s="64">
      <c r="A56" s="58" t="inlineStr">
        <is>
          <t>Seat Chamber / Stuffing Box</t>
        </is>
      </c>
      <c r="B56" s="58" t="inlineStr">
        <is>
          <t>VTA</t>
        </is>
      </c>
      <c r="C56" s="58" t="inlineStr">
        <is>
          <t>—</t>
        </is>
      </c>
      <c r="D56" s="58" t="n"/>
    </row>
    <row r="57" ht="25.5" customHeight="1" s="64">
      <c r="A57" s="58" t="inlineStr">
        <is>
          <t>Coupling</t>
        </is>
      </c>
      <c r="B57" s="58" t="inlineStr">
        <is>
          <t>REM 65-250 B/B</t>
        </is>
      </c>
      <c r="C57" s="58" t="inlineStr">
        <is>
          <t>KSB Std</t>
        </is>
      </c>
      <c r="D57" s="58" t="inlineStr">
        <is>
          <t>GD²=0.013 kgm²</t>
        </is>
      </c>
    </row>
    <row r="58" ht="38.25" customHeight="1" s="64">
      <c r="A58" s="58" t="inlineStr">
        <is>
          <t>Counter Flange — Discharge</t>
        </is>
      </c>
      <c r="B58" s="58" t="inlineStr">
        <is>
          <t>ASTM A216 WCB</t>
        </is>
      </c>
      <c r="C58" s="58" t="inlineStr">
        <is>
          <t>ASME B16.5</t>
        </is>
      </c>
      <c r="D58" s="58" t="inlineStr">
        <is>
          <t>DN100 CL150 RF</t>
        </is>
      </c>
    </row>
    <row r="59" ht="38.25" customHeight="1" s="64">
      <c r="A59" s="58" t="inlineStr">
        <is>
          <t>Counter Flange — Suction</t>
        </is>
      </c>
      <c r="B59" s="58" t="inlineStr">
        <is>
          <t>ASTM A216 WCB</t>
        </is>
      </c>
      <c r="C59" s="58" t="inlineStr">
        <is>
          <t>ASME B16.5</t>
        </is>
      </c>
      <c r="D59" s="58" t="inlineStr">
        <is>
          <t>DN150 CL150 RF</t>
        </is>
      </c>
    </row>
    <row r="60" ht="51" customHeight="1" s="64">
      <c r="A60" s="58" t="inlineStr">
        <is>
          <t>Base Frame / Channel</t>
        </is>
      </c>
      <c r="B60" s="58" t="inlineStr">
        <is>
          <t>IS MC 200 Mild Steel</t>
        </is>
      </c>
      <c r="C60" s="58" t="inlineStr">
        <is>
          <t>IS:2062</t>
        </is>
      </c>
      <c r="D60" s="58" t="inlineStr">
        <is>
          <t>Square base frame channel</t>
        </is>
      </c>
    </row>
    <row r="62">
      <c r="A62" s="47" t="inlineStr">
        <is>
          <t>WEIGHTS</t>
        </is>
      </c>
    </row>
    <row r="63" ht="25.5" customHeight="1" s="64">
      <c r="A63" s="59" t="inlineStr">
        <is>
          <t>Item</t>
        </is>
      </c>
      <c r="B63" s="59" t="inlineStr">
        <is>
          <t>Weight (kg)</t>
        </is>
      </c>
      <c r="C63" s="59" t="inlineStr">
        <is>
          <t>Notes</t>
        </is>
      </c>
    </row>
    <row r="64" ht="63.75" customHeight="1" s="64">
      <c r="A64" s="58" t="inlineStr">
        <is>
          <t>Motor (ABB 30kW Frame 225M)</t>
        </is>
      </c>
      <c r="B64" s="58" t="inlineStr">
        <is>
          <t>171</t>
        </is>
      </c>
      <c r="C64" s="58" t="inlineStr">
        <is>
          <t>From As-Built drawing</t>
        </is>
      </c>
    </row>
    <row r="65" ht="51" customHeight="1" s="64">
      <c r="A65" s="58" t="inlineStr">
        <is>
          <t>Pump Barrel + Column Pipe</t>
        </is>
      </c>
      <c r="B65" s="58" t="inlineStr">
        <is>
          <t>1390</t>
        </is>
      </c>
      <c r="C65" s="58" t="inlineStr">
        <is>
          <t>From As-Built drawing</t>
        </is>
      </c>
    </row>
    <row r="66" ht="63.75" customHeight="1" s="64">
      <c r="A66" s="58" t="inlineStr">
        <is>
          <t>Motor Lantern + Base Frame + Coupling</t>
        </is>
      </c>
      <c r="B66" s="58" t="inlineStr">
        <is>
          <t>~170 (incl)</t>
        </is>
      </c>
      <c r="C66" s="58" t="inlineStr">
        <is>
          <t>Included in total</t>
        </is>
      </c>
    </row>
    <row r="67" ht="63.75" customHeight="1" s="64">
      <c r="A67" s="58" t="inlineStr">
        <is>
          <t>TOTAL WEIGHT</t>
        </is>
      </c>
      <c r="B67" s="58" t="inlineStr">
        <is>
          <t>1561</t>
        </is>
      </c>
      <c r="C67" s="58" t="inlineStr">
        <is>
          <t>From As-Built drawing F9975603447-300-1</t>
        </is>
      </c>
    </row>
    <row r="68" ht="38.25" customHeight="1" s="64">
      <c r="A68" s="58" t="inlineStr">
        <is>
          <t>GD² of Pump</t>
        </is>
      </c>
      <c r="B68" s="58" t="inlineStr">
        <is>
          <t>0.2454 kgm²</t>
        </is>
      </c>
      <c r="C68" s="58" t="inlineStr">
        <is>
          <t>From As-Built drawing</t>
        </is>
      </c>
    </row>
    <row r="69" ht="38.25" customHeight="1" s="64">
      <c r="A69" s="58" t="inlineStr">
        <is>
          <t>GD² of Coupling</t>
        </is>
      </c>
      <c r="B69" s="58" t="inlineStr">
        <is>
          <t>0.013 kgm²</t>
        </is>
      </c>
      <c r="C69" s="58" t="inlineStr">
        <is>
          <t>Coupling REM 65-250 B/B</t>
        </is>
      </c>
    </row>
    <row r="71">
      <c r="A71" s="47" t="inlineStr">
        <is>
          <t>MOTOR DATA (ABB)</t>
        </is>
      </c>
    </row>
    <row r="72">
      <c r="A72" s="56" t="inlineStr">
        <is>
          <t>Make</t>
        </is>
      </c>
      <c r="B72" s="58" t="inlineStr">
        <is>
          <t>ABB</t>
        </is>
      </c>
    </row>
    <row r="73">
      <c r="A73" s="56" t="inlineStr">
        <is>
          <t>Frame Size</t>
        </is>
      </c>
      <c r="B73" s="58" t="inlineStr">
        <is>
          <t>225 M</t>
        </is>
      </c>
    </row>
    <row r="74">
      <c r="A74" s="56" t="inlineStr">
        <is>
          <t>Rating</t>
        </is>
      </c>
      <c r="B74" s="58" t="inlineStr">
        <is>
          <t>30 kW</t>
        </is>
      </c>
    </row>
    <row r="75">
      <c r="A75" s="56" t="inlineStr">
        <is>
          <t>Speed</t>
        </is>
      </c>
      <c r="B75" s="58" t="inlineStr">
        <is>
          <t>1440/1480 RPM</t>
        </is>
      </c>
    </row>
    <row r="76">
      <c r="A76" s="56" t="inlineStr">
        <is>
          <t>Voltage/Frequency</t>
        </is>
      </c>
      <c r="B76" s="58" t="inlineStr">
        <is>
          <t>415V / 3Ph / 50Hz</t>
        </is>
      </c>
    </row>
    <row r="77">
      <c r="A77" s="56" t="inlineStr">
        <is>
          <t>Enclosure</t>
        </is>
      </c>
      <c r="B77" s="58" t="inlineStr">
        <is>
          <t>TEFC (Totally Enclosed Fan Cooled)</t>
        </is>
      </c>
    </row>
    <row r="78">
      <c r="A78" s="56" t="inlineStr">
        <is>
          <t>Ambient Temperature</t>
        </is>
      </c>
      <c r="B78" s="58" t="inlineStr">
        <is>
          <t>50°C</t>
        </is>
      </c>
    </row>
    <row r="79">
      <c r="A79" s="56" t="inlineStr">
        <is>
          <t>Motor Weight</t>
        </is>
      </c>
      <c r="B79" s="58" t="inlineStr">
        <is>
          <t>171 kg</t>
        </is>
      </c>
    </row>
    <row r="80">
      <c r="A80" s="56" t="inlineStr">
        <is>
          <t>Direction</t>
        </is>
      </c>
      <c r="B80" s="58" t="inlineStr">
        <is>
          <t>CCW from coupling end (pump rotation)</t>
        </is>
      </c>
    </row>
    <row r="82">
      <c r="A82" s="47" t="inlineStr">
        <is>
          <t>NOZZLE &amp; CONNECTION SCHEDULE</t>
        </is>
      </c>
    </row>
    <row r="83" ht="25.5" customHeight="1" s="64">
      <c r="A83" s="59" t="inlineStr">
        <is>
          <t>Mark</t>
        </is>
      </c>
      <c r="B83" s="59" t="inlineStr">
        <is>
          <t>Description</t>
        </is>
      </c>
      <c r="C83" s="59" t="inlineStr">
        <is>
          <t>Size</t>
        </is>
      </c>
      <c r="D83" s="59" t="inlineStr">
        <is>
          <t>Type/Rating</t>
        </is>
      </c>
      <c r="E83" s="59" t="inlineStr">
        <is>
          <t>Notes</t>
        </is>
      </c>
    </row>
    <row r="84" ht="178.5" customHeight="1" s="64">
      <c r="A84" s="58" t="inlineStr">
        <is>
          <t>N1</t>
        </is>
      </c>
      <c r="B84" s="58" t="inlineStr">
        <is>
          <t>Vent</t>
        </is>
      </c>
      <c r="C84" s="58" t="inlineStr">
        <is>
          <t>3/4" NPT</t>
        </is>
      </c>
      <c r="D84" s="58" t="inlineStr">
        <is>
          <t>Adaptor NPT 3/4" — KSB Scope</t>
        </is>
      </c>
      <c r="E84" s="58" t="inlineStr">
        <is>
          <t>with pipe union/ermeto fitting NPT; loose supply; pipe union/ermeto fitting suitable for pipe T schedule 40</t>
        </is>
      </c>
    </row>
    <row r="85" ht="51" customHeight="1" s="64">
      <c r="A85" s="58" t="inlineStr">
        <is>
          <t>N2</t>
        </is>
      </c>
      <c r="B85" s="58" t="inlineStr">
        <is>
          <t>Vacuum Gauge Connection</t>
        </is>
      </c>
      <c r="C85" s="58" t="inlineStr">
        <is>
          <t>1/2" NPT</t>
        </is>
      </c>
      <c r="D85" s="58" t="inlineStr">
        <is>
          <t>N/A</t>
        </is>
      </c>
      <c r="E85" s="58" t="inlineStr">
        <is>
          <t>Not applicable per drawing</t>
        </is>
      </c>
    </row>
    <row r="86" ht="127.5" customHeight="1" s="64">
      <c r="A86" s="58" t="inlineStr">
        <is>
          <t>N3</t>
        </is>
      </c>
      <c r="B86" s="58" t="inlineStr">
        <is>
          <t>Plan 13 — Recirculation</t>
        </is>
      </c>
      <c r="C86" s="58" t="inlineStr">
        <is>
          <t>DN5</t>
        </is>
      </c>
      <c r="D86" s="58" t="inlineStr">
        <is>
          <t>Std connection DN15 with blind flange</t>
        </is>
      </c>
      <c r="E86" s="58" t="inlineStr">
        <is>
          <t>Recirculation from mech seal through orifice to pump suction; not applicable for CEP</t>
        </is>
      </c>
    </row>
    <row r="87" ht="51" customHeight="1" s="64">
      <c r="A87" s="58" t="inlineStr">
        <is>
          <t>N8</t>
        </is>
      </c>
      <c r="B87" s="58" t="inlineStr">
        <is>
          <t>Leakage Drain</t>
        </is>
      </c>
      <c r="C87" s="58" t="inlineStr">
        <is>
          <t>1/2" NPT</t>
        </is>
      </c>
      <c r="D87" s="58" t="inlineStr">
        <is>
          <t>Plugged</t>
        </is>
      </c>
      <c r="E87" s="58" t="inlineStr">
        <is>
          <t>To be connected drain at site</t>
        </is>
      </c>
    </row>
    <row r="88" ht="102" customHeight="1" s="64">
      <c r="A88" s="58" t="inlineStr">
        <is>
          <t>Discharge</t>
        </is>
      </c>
      <c r="B88" s="58" t="inlineStr">
        <is>
          <t>Discharge Nozzle</t>
        </is>
      </c>
      <c r="C88" s="58" t="inlineStr">
        <is>
          <t>DN100</t>
        </is>
      </c>
      <c r="D88" s="58" t="inlineStr">
        <is>
          <t>CL150 RF</t>
        </is>
      </c>
      <c r="E88" s="58" t="inlineStr">
        <is>
          <t>OD 229mm; PCD 190.5mm; Thk 23.9mm; 8 holes Ø19mm</t>
        </is>
      </c>
    </row>
    <row r="89" ht="102" customHeight="1" s="64">
      <c r="A89" s="58" t="inlineStr">
        <is>
          <t>Suction</t>
        </is>
      </c>
      <c r="B89" s="58" t="inlineStr">
        <is>
          <t>Suction Nozzle</t>
        </is>
      </c>
      <c r="C89" s="58" t="inlineStr">
        <is>
          <t>DN150</t>
        </is>
      </c>
      <c r="D89" s="58" t="inlineStr">
        <is>
          <t>CL150 RF</t>
        </is>
      </c>
      <c r="E89" s="58" t="inlineStr">
        <is>
          <t>OD 279mm; PCD 241.3mm; Thk 25.4mm; 8 holes Ø22mm</t>
        </is>
      </c>
    </row>
    <row r="90" ht="114.75" customHeight="1" s="64">
      <c r="A90" s="58" t="inlineStr">
        <is>
          <t>Draw-In</t>
        </is>
      </c>
      <c r="B90" s="58" t="inlineStr">
        <is>
          <t>Draw-In Barrel</t>
        </is>
      </c>
      <c r="C90" s="58" t="inlineStr">
        <is>
          <t>—</t>
        </is>
      </c>
      <c r="D90" s="58" t="inlineStr">
        <is>
          <t>N3=150/41</t>
        </is>
      </c>
      <c r="E90" s="58" t="inlineStr">
        <is>
          <t>Forces (kgf): Fx=80, Fy=60.5, Fz=35.5; Moments (kgf.m): 17.2 / 4 / 15.7</t>
        </is>
      </c>
    </row>
    <row r="92">
      <c r="A92" s="47" t="inlineStr">
        <is>
          <t>FOUNDATION LOADS</t>
        </is>
      </c>
    </row>
    <row r="93">
      <c r="A93" s="56" t="inlineStr">
        <is>
          <t>Dynamic Load per Foundation Bolt</t>
        </is>
      </c>
      <c r="B93" s="58" t="inlineStr">
        <is>
          <t>80 kgf</t>
        </is>
      </c>
    </row>
    <row r="94">
      <c r="A94" s="56" t="inlineStr">
        <is>
          <t>Static Load per Foundation Bolt</t>
        </is>
      </c>
      <c r="B94" s="58" t="inlineStr">
        <is>
          <t>84.5 kgf</t>
        </is>
      </c>
    </row>
    <row r="95">
      <c r="A95" s="56" t="inlineStr">
        <is>
          <t>Foundation Bolt Config</t>
        </is>
      </c>
      <c r="B95" s="58" t="inlineStr">
        <is>
          <t>M16-8 Nos. tapped holes on base frame; 8-Nos tapped holes on barrel top plate</t>
        </is>
      </c>
    </row>
    <row r="96">
      <c r="A96" s="56" t="inlineStr">
        <is>
          <t>Floor Level</t>
        </is>
      </c>
      <c r="B96" s="58" t="inlineStr">
        <is>
          <t>FFL +930.300m</t>
        </is>
      </c>
    </row>
    <row r="98">
      <c r="A98" s="47" t="inlineStr">
        <is>
          <t>SCOPE OF SUPPLY (KSB)</t>
        </is>
      </c>
    </row>
    <row r="99">
      <c r="A99" s="57" t="inlineStr">
        <is>
          <t>✓ Pump (WKT 80/9)</t>
        </is>
      </c>
    </row>
    <row r="100">
      <c r="A100" s="57" t="inlineStr">
        <is>
          <t>✓ Mechanical Seal (Plan 13+61)</t>
        </is>
      </c>
    </row>
    <row r="101">
      <c r="A101" s="57" t="inlineStr">
        <is>
          <t>✓ Coupling (REM 65-250 B/B) &amp; Coupling Guard</t>
        </is>
      </c>
    </row>
    <row r="102">
      <c r="A102" s="57" t="inlineStr">
        <is>
          <t>✓ Motor (ABB 30kW 225M) &amp; Motor Stool</t>
        </is>
      </c>
    </row>
    <row r="103">
      <c r="A103" s="57" t="inlineStr">
        <is>
          <t>✓ Base Frame (square channel IS MC 200)</t>
        </is>
      </c>
    </row>
    <row r="104">
      <c r="A104" s="57" t="inlineStr">
        <is>
          <t>✓ Suction &amp; Discharge Counter Flanges with gaskets &amp; fasteners</t>
        </is>
      </c>
    </row>
    <row r="105">
      <c r="A105" s="60" t="inlineStr">
        <is>
          <t>✗ NOT in scope: Base frame pad concrete block (by civil); Vacuum gauge; V/S Drive</t>
        </is>
      </c>
    </row>
  </sheetData>
  <mergeCells count="38">
    <mergeCell ref="B11:M11"/>
    <mergeCell ref="A4:M4"/>
    <mergeCell ref="B14:M14"/>
    <mergeCell ref="A62:M62"/>
    <mergeCell ref="B8:M8"/>
    <mergeCell ref="B17:M17"/>
    <mergeCell ref="B13:M13"/>
    <mergeCell ref="B73:M73"/>
    <mergeCell ref="B78:M78"/>
    <mergeCell ref="B10:M10"/>
    <mergeCell ref="B19:M19"/>
    <mergeCell ref="A92:M92"/>
    <mergeCell ref="B9:M9"/>
    <mergeCell ref="B74:M74"/>
    <mergeCell ref="A82:M82"/>
    <mergeCell ref="B6:M6"/>
    <mergeCell ref="A98:M98"/>
    <mergeCell ref="B95:M95"/>
    <mergeCell ref="B15:M15"/>
    <mergeCell ref="A1:M1"/>
    <mergeCell ref="B5:M5"/>
    <mergeCell ref="B80:M80"/>
    <mergeCell ref="B76:M76"/>
    <mergeCell ref="B94:M94"/>
    <mergeCell ref="B79:M79"/>
    <mergeCell ref="B75:M75"/>
    <mergeCell ref="A71:M71"/>
    <mergeCell ref="B16:M16"/>
    <mergeCell ref="B7:M7"/>
    <mergeCell ref="B72:M72"/>
    <mergeCell ref="A37:M37"/>
    <mergeCell ref="B93:M93"/>
    <mergeCell ref="A21:M21"/>
    <mergeCell ref="B96:M96"/>
    <mergeCell ref="B18:M18"/>
    <mergeCell ref="A2:M2"/>
    <mergeCell ref="B12:M12"/>
    <mergeCell ref="B77:M7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64" min="1" max="1"/>
    <col width="18" customWidth="1" style="64" min="2" max="2"/>
    <col width="22" customWidth="1" style="64" min="3" max="3"/>
    <col width="8" customWidth="1" style="64" min="4" max="4"/>
    <col width="22" customWidth="1" style="64" min="5" max="5"/>
    <col width="12" customWidth="1" style="64" min="6" max="6"/>
    <col width="45" customWidth="1" style="64" min="7" max="7"/>
  </cols>
  <sheetData>
    <row r="1" ht="22" customHeight="1" s="64">
      <c r="A1" s="65" t="inlineStr">
        <is>
          <t>BOM TEMPLATES — MANDATORY &amp; OPTIONAL COMPONENTS BY PUMP TYPE</t>
        </is>
      </c>
    </row>
    <row r="2">
      <c r="A2" s="66" t="inlineStr">
        <is>
          <t>PURPOSE: When classifier identifies pump type, this sheet returns the BOM template (mandatory + optional components). Template_ID links to Component_Library. M=Mandatory, O=Optional, C=Conditional</t>
        </is>
      </c>
    </row>
    <row r="4" ht="16" customHeight="1" s="64">
      <c r="A4" s="67" t="inlineStr">
        <is>
          <t>A. TEMPLATE REGISTRY — PUMP TYPE TO TEMPLATE MAPPING</t>
        </is>
      </c>
    </row>
    <row r="5">
      <c r="A5" s="68" t="inlineStr">
        <is>
          <t>Template_ID</t>
        </is>
      </c>
      <c r="B5" s="68" t="inlineStr">
        <is>
          <t>Pump_Type</t>
        </is>
      </c>
      <c r="C5" s="68" t="inlineStr">
        <is>
          <t>API_Type</t>
        </is>
      </c>
      <c r="D5" s="68" t="inlineStr">
        <is>
          <t>Drive</t>
        </is>
      </c>
      <c r="E5" s="68" t="inlineStr">
        <is>
          <t>Stages</t>
        </is>
      </c>
      <c r="F5" s="68" t="inlineStr">
        <is>
          <t>Flow_Range_m3h</t>
        </is>
      </c>
      <c r="G5" s="68" t="inlineStr">
        <is>
          <t>Head_Range_m</t>
        </is>
      </c>
      <c r="H5" s="68" t="inlineStr">
        <is>
          <t>Power_Range_kW</t>
        </is>
      </c>
      <c r="I5" s="68" t="inlineStr">
        <is>
          <t>Fluid_Category</t>
        </is>
      </c>
      <c r="J5" s="68" t="inlineStr">
        <is>
          <t>Source_Pumps</t>
        </is>
      </c>
      <c r="K5" s="68" t="inlineStr">
        <is>
          <t>Description</t>
        </is>
      </c>
    </row>
    <row r="6">
      <c r="A6" s="69" t="inlineStr">
        <is>
          <t>TPL-HSC-01</t>
        </is>
      </c>
      <c r="B6" s="69" t="inlineStr">
        <is>
          <t>Horizontal Split Casing</t>
        </is>
      </c>
      <c r="C6" s="69" t="inlineStr">
        <is>
          <t>BB1/BB2</t>
        </is>
      </c>
      <c r="D6" s="69" t="inlineStr">
        <is>
          <t>Direct Coupled</t>
        </is>
      </c>
      <c r="E6" s="69" t="inlineStr">
        <is>
          <t>1</t>
        </is>
      </c>
      <c r="F6" s="69" t="inlineStr">
        <is>
          <t>50–2000</t>
        </is>
      </c>
      <c r="G6" s="69" t="inlineStr">
        <is>
          <t>20–200</t>
        </is>
      </c>
      <c r="H6" s="69" t="inlineStr">
        <is>
          <t>10–600</t>
        </is>
      </c>
      <c r="I6" s="69" t="inlineStr">
        <is>
          <t>Clean Water / Process</t>
        </is>
      </c>
      <c r="J6" s="69" t="inlineStr">
        <is>
          <t>FLW-001, WILO-001, WILO-002</t>
        </is>
      </c>
      <c r="K6" s="69" t="inlineStr">
        <is>
          <t>Axial split casing; between-bearing; clean/process fluid</t>
        </is>
      </c>
    </row>
    <row r="7">
      <c r="A7" s="70" t="inlineStr">
        <is>
          <t>TPL-HSC-02</t>
        </is>
      </c>
      <c r="B7" s="70" t="inlineStr">
        <is>
          <t>Horizontal Split Casing - High Head</t>
        </is>
      </c>
      <c r="C7" s="70" t="inlineStr">
        <is>
          <t>BB2</t>
        </is>
      </c>
      <c r="D7" s="70" t="inlineStr">
        <is>
          <t>Direct Coupled</t>
        </is>
      </c>
      <c r="E7" s="70" t="inlineStr">
        <is>
          <t>1–2</t>
        </is>
      </c>
      <c r="F7" s="70" t="inlineStr">
        <is>
          <t>50–1200</t>
        </is>
      </c>
      <c r="G7" s="70" t="inlineStr">
        <is>
          <t>80–300</t>
        </is>
      </c>
      <c r="H7" s="70" t="inlineStr">
        <is>
          <t>50–700</t>
        </is>
      </c>
      <c r="I7" s="70" t="inlineStr">
        <is>
          <t>Clean Water / Condensate</t>
        </is>
      </c>
      <c r="J7" s="70" t="inlineStr">
        <is>
          <t>FLW-001</t>
        </is>
      </c>
      <c r="K7" s="70" t="inlineStr">
        <is>
          <t>High head HSC; PN16+ flanges; API 610 BB2</t>
        </is>
      </c>
    </row>
    <row r="8">
      <c r="A8" s="69" t="inlineStr">
        <is>
          <t>TPL-HSS-01</t>
        </is>
      </c>
      <c r="B8" s="69" t="inlineStr">
        <is>
          <t>Horizontal Slurry Pump</t>
        </is>
      </c>
      <c r="C8" s="69" t="inlineStr">
        <is>
          <t>—</t>
        </is>
      </c>
      <c r="D8" s="69" t="inlineStr">
        <is>
          <t>V-Belt/Direct</t>
        </is>
      </c>
      <c r="E8" s="69" t="inlineStr">
        <is>
          <t>1</t>
        </is>
      </c>
      <c r="F8" s="69" t="inlineStr">
        <is>
          <t>100–2000</t>
        </is>
      </c>
      <c r="G8" s="69" t="inlineStr">
        <is>
          <t>10–120</t>
        </is>
      </c>
      <c r="H8" s="69" t="inlineStr">
        <is>
          <t>50–600</t>
        </is>
      </c>
      <c r="I8" s="69" t="inlineStr">
        <is>
          <t>Slurry / Abrasive</t>
        </is>
      </c>
      <c r="J8" s="69" t="inlineStr">
        <is>
          <t>METSO-001</t>
        </is>
      </c>
      <c r="K8" s="69" t="inlineStr">
        <is>
          <t>High chrome iron; V-belt or direct drive; wear-liner design</t>
        </is>
      </c>
    </row>
    <row r="9">
      <c r="A9" s="70" t="inlineStr">
        <is>
          <t>TPL-VTP-01</t>
        </is>
      </c>
      <c r="B9" s="70" t="inlineStr">
        <is>
          <t>Vertical Turbine Pump - Water Supply</t>
        </is>
      </c>
      <c r="C9" s="70" t="inlineStr">
        <is>
          <t>VS1/VS6</t>
        </is>
      </c>
      <c r="D9" s="70" t="inlineStr">
        <is>
          <t>Solid Shaft Motor</t>
        </is>
      </c>
      <c r="E9" s="70" t="inlineStr">
        <is>
          <t>1–12</t>
        </is>
      </c>
      <c r="F9" s="70" t="inlineStr">
        <is>
          <t>50–1000</t>
        </is>
      </c>
      <c r="G9" s="70" t="inlineStr">
        <is>
          <t>30–200</t>
        </is>
      </c>
      <c r="H9" s="70" t="inlineStr">
        <is>
          <t>5–400</t>
        </is>
      </c>
      <c r="I9" s="70" t="inlineStr">
        <is>
          <t>Clean Water</t>
        </is>
      </c>
      <c r="J9" s="70" t="inlineStr">
        <is>
          <t>JYOTI-001, JYOTI-002, WILO-003</t>
        </is>
      </c>
      <c r="K9" s="70" t="inlineStr">
        <is>
          <t>Column pump; line shaft bearings; above-floor discharge</t>
        </is>
      </c>
    </row>
    <row r="10">
      <c r="A10" s="69" t="inlineStr">
        <is>
          <t>TPL-VTP-02</t>
        </is>
      </c>
      <c r="B10" s="69" t="inlineStr">
        <is>
          <t>Vertical Turbine Pump - Condensate VS6</t>
        </is>
      </c>
      <c r="C10" s="69" t="inlineStr">
        <is>
          <t>VS6</t>
        </is>
      </c>
      <c r="D10" s="69" t="inlineStr">
        <is>
          <t>Solid Shaft Motor</t>
        </is>
      </c>
      <c r="E10" s="69" t="inlineStr">
        <is>
          <t>1–8</t>
        </is>
      </c>
      <c r="F10" s="69" t="inlineStr">
        <is>
          <t>10–200</t>
        </is>
      </c>
      <c r="G10" s="69" t="inlineStr">
        <is>
          <t>50–150</t>
        </is>
      </c>
      <c r="H10" s="69" t="inlineStr">
        <is>
          <t>5–100</t>
        </is>
      </c>
      <c r="I10" s="69" t="inlineStr">
        <is>
          <t>Hot Condensate / Low NPSH</t>
        </is>
      </c>
      <c r="J10" s="69" t="inlineStr">
        <is>
          <t>KSB-003, KSB-005</t>
        </is>
      </c>
      <c r="K10" s="69" t="inlineStr">
        <is>
          <t>Double-casing diffuser; inline suction/discharge; SS304/SS316 wetted parts; API Plan 13+61</t>
        </is>
      </c>
    </row>
    <row r="11">
      <c r="A11" s="70" t="inlineStr">
        <is>
          <t>TPL-VSP-01</t>
        </is>
      </c>
      <c r="B11" s="70" t="inlineStr">
        <is>
          <t>Vertical Sump Pump</t>
        </is>
      </c>
      <c r="C11" s="70" t="inlineStr">
        <is>
          <t>VS4/VS6</t>
        </is>
      </c>
      <c r="D11" s="70" t="inlineStr">
        <is>
          <t>Direct Coupled</t>
        </is>
      </c>
      <c r="E11" s="70" t="inlineStr">
        <is>
          <t>1–3</t>
        </is>
      </c>
      <c r="F11" s="70" t="inlineStr">
        <is>
          <t>10–300</t>
        </is>
      </c>
      <c r="G11" s="70" t="inlineStr">
        <is>
          <t>5–60</t>
        </is>
      </c>
      <c r="H11" s="70" t="inlineStr">
        <is>
          <t>1–75</t>
        </is>
      </c>
      <c r="I11" s="70" t="inlineStr">
        <is>
          <t>Corrosive / Acid / Sump</t>
        </is>
      </c>
      <c r="J11" s="70" t="inlineStr">
        <is>
          <t>KSB-004</t>
        </is>
      </c>
      <c r="K11" s="70" t="inlineStr">
        <is>
          <t>Cantilevered shaft; submerged in tank/sump; no bearing below liquid; acid-resistant MOC</t>
        </is>
      </c>
    </row>
    <row r="12">
      <c r="A12" s="69" t="inlineStr">
        <is>
          <t>TPL-VRT-01</t>
        </is>
      </c>
      <c r="B12" s="69" t="inlineStr">
        <is>
          <t>Vertical Submersible (Borewell/Pit)</t>
        </is>
      </c>
      <c r="C12" s="69" t="inlineStr">
        <is>
          <t>VS5</t>
        </is>
      </c>
      <c r="D12" s="69" t="inlineStr">
        <is>
          <t>Direct Coupled</t>
        </is>
      </c>
      <c r="E12" s="69" t="inlineStr">
        <is>
          <t>1–20</t>
        </is>
      </c>
      <c r="F12" s="69" t="inlineStr">
        <is>
          <t>5–200</t>
        </is>
      </c>
      <c r="G12" s="69" t="inlineStr">
        <is>
          <t>30–400</t>
        </is>
      </c>
      <c r="H12" s="69" t="inlineStr">
        <is>
          <t>1–200</t>
        </is>
      </c>
      <c r="I12" s="69" t="inlineStr">
        <is>
          <t>Clean Water / Groundwater</t>
        </is>
      </c>
      <c r="J12" s="69" t="inlineStr">
        <is>
          <t>KSB-001, KSB-002</t>
        </is>
      </c>
      <c r="K12" s="69" t="inlineStr">
        <is>
          <t>Submerged motor-pump; column pipe; delivery pipe; motor stool</t>
        </is>
      </c>
    </row>
    <row r="13">
      <c r="A13" s="70" t="inlineStr">
        <is>
          <t>TPL-MSC-01</t>
        </is>
      </c>
      <c r="B13" s="70" t="inlineStr">
        <is>
          <t>Multistage Centrifugal - Boiler Feed</t>
        </is>
      </c>
      <c r="C13" s="70" t="inlineStr">
        <is>
          <t>BB3/OH2</t>
        </is>
      </c>
      <c r="D13" s="70" t="inlineStr">
        <is>
          <t>Direct Coupled</t>
        </is>
      </c>
      <c r="E13" s="70" t="inlineStr">
        <is>
          <t>2–8</t>
        </is>
      </c>
      <c r="F13" s="70" t="inlineStr">
        <is>
          <t>50–500</t>
        </is>
      </c>
      <c r="G13" s="70" t="inlineStr">
        <is>
          <t>100–600</t>
        </is>
      </c>
      <c r="H13" s="70" t="inlineStr">
        <is>
          <t>100–2000</t>
        </is>
      </c>
      <c r="I13" s="70" t="inlineStr">
        <is>
          <t>High-temp Water / Condensate</t>
        </is>
      </c>
      <c r="J13" s="70" t="inlineStr">
        <is>
          <t>—</t>
        </is>
      </c>
      <c r="K13" s="70" t="inlineStr">
        <is>
          <t>High pressure; balance disc; special sealing; multi-stage; placeholder for future data</t>
        </is>
      </c>
    </row>
    <row r="14">
      <c r="A14" s="69" t="inlineStr">
        <is>
          <t>TPL-PD-01</t>
        </is>
      </c>
      <c r="B14" s="69" t="inlineStr">
        <is>
          <t>Positive Displacement - Reciprocating</t>
        </is>
      </c>
      <c r="C14" s="69" t="inlineStr">
        <is>
          <t>—</t>
        </is>
      </c>
      <c r="D14" s="69" t="inlineStr">
        <is>
          <t>Direct/Gear</t>
        </is>
      </c>
      <c r="E14" s="69" t="inlineStr">
        <is>
          <t>—</t>
        </is>
      </c>
      <c r="F14" s="69" t="inlineStr">
        <is>
          <t>0.5–50</t>
        </is>
      </c>
      <c r="G14" s="69" t="inlineStr">
        <is>
          <t>100–5000</t>
        </is>
      </c>
      <c r="H14" s="69" t="inlineStr">
        <is>
          <t>5–500</t>
        </is>
      </c>
      <c r="I14" s="69" t="inlineStr">
        <is>
          <t>Chemicals / High Viscosity</t>
        </is>
      </c>
      <c r="J14" s="69" t="inlineStr">
        <is>
          <t>—</t>
        </is>
      </c>
      <c r="K14" s="69" t="inlineStr">
        <is>
          <t>Placeholder — no data yet</t>
        </is>
      </c>
    </row>
    <row r="16" ht="16" customHeight="1" s="64">
      <c r="A16" s="67" t="inlineStr">
        <is>
          <t>B. COMPONENT REQUIREMENTS PER TEMPLATE (M=Mandatory, O=Optional, C=Conditional on service)</t>
        </is>
      </c>
    </row>
    <row r="17">
      <c r="A17" s="68" t="inlineStr">
        <is>
          <t>Template_ID</t>
        </is>
      </c>
      <c r="B17" s="68" t="inlineStr">
        <is>
          <t>Component_Category</t>
        </is>
      </c>
      <c r="C17" s="68" t="inlineStr">
        <is>
          <t>Component_Subcategory</t>
        </is>
      </c>
      <c r="D17" s="68" t="inlineStr">
        <is>
          <t>Req_Type</t>
        </is>
      </c>
      <c r="E17" s="68" t="inlineStr">
        <is>
          <t>Typical_MOC</t>
        </is>
      </c>
      <c r="F17" s="68" t="inlineStr">
        <is>
          <t>Qty_Logic</t>
        </is>
      </c>
      <c r="G17" s="68" t="inlineStr">
        <is>
          <t>Notes_for_BOM_Generator</t>
        </is>
      </c>
    </row>
    <row r="18">
      <c r="A18" s="69" t="inlineStr">
        <is>
          <t>TPL-HSC-01</t>
        </is>
      </c>
      <c r="B18" s="69" t="inlineStr">
        <is>
          <t>Pump</t>
        </is>
      </c>
      <c r="C18" s="69" t="inlineStr">
        <is>
          <t>Complete Assembly</t>
        </is>
      </c>
      <c r="D18" s="69" t="inlineStr">
        <is>
          <t>M</t>
        </is>
      </c>
      <c r="E18" s="69" t="inlineStr">
        <is>
          <t>Various</t>
        </is>
      </c>
      <c r="F18" s="69" t="inlineStr">
        <is>
          <t>1 per pump</t>
        </is>
      </c>
      <c r="G18" s="69" t="inlineStr">
        <is>
          <t>Main pump unit; look up Component_Library by Pump_Model_Compatibility</t>
        </is>
      </c>
    </row>
    <row r="19">
      <c r="A19" s="70" t="inlineStr">
        <is>
          <t>TPL-HSC-01</t>
        </is>
      </c>
      <c r="B19" s="70" t="inlineStr">
        <is>
          <t>Casing</t>
        </is>
      </c>
      <c r="C19" s="70" t="inlineStr">
        <is>
          <t>Upper Casing</t>
        </is>
      </c>
      <c r="D19" s="70" t="inlineStr">
        <is>
          <t>M</t>
        </is>
      </c>
      <c r="E19" s="70" t="inlineStr">
        <is>
          <t>A216 WCB / CI FG260</t>
        </is>
      </c>
      <c r="F19" s="70" t="inlineStr">
        <is>
          <t>1</t>
        </is>
      </c>
      <c r="G19" s="70" t="inlineStr">
        <is>
          <t>Horizontally split; material from Material_Compatibility sheet</t>
        </is>
      </c>
    </row>
    <row r="20">
      <c r="A20" s="69" t="inlineStr">
        <is>
          <t>TPL-HSC-01</t>
        </is>
      </c>
      <c r="B20" s="69" t="inlineStr">
        <is>
          <t>Casing</t>
        </is>
      </c>
      <c r="C20" s="69" t="inlineStr">
        <is>
          <t>Lower Casing</t>
        </is>
      </c>
      <c r="D20" s="69" t="inlineStr">
        <is>
          <t>M</t>
        </is>
      </c>
      <c r="E20" s="69" t="inlineStr">
        <is>
          <t>A216 WCB / CI FG260</t>
        </is>
      </c>
      <c r="F20" s="69" t="inlineStr">
        <is>
          <t>1</t>
        </is>
      </c>
      <c r="G20" s="69" t="inlineStr">
        <is>
          <t>Lower half</t>
        </is>
      </c>
    </row>
    <row r="21">
      <c r="A21" s="70" t="inlineStr">
        <is>
          <t>TPL-HSC-01</t>
        </is>
      </c>
      <c r="B21" s="70" t="inlineStr">
        <is>
          <t>Rotor</t>
        </is>
      </c>
      <c r="C21" s="70" t="inlineStr">
        <is>
          <t>Rotor Assembly</t>
        </is>
      </c>
      <c r="D21" s="70" t="inlineStr">
        <is>
          <t>M</t>
        </is>
      </c>
      <c r="E21" s="70" t="inlineStr">
        <is>
          <t>CS / SS316</t>
        </is>
      </c>
      <c r="F21" s="70" t="inlineStr">
        <is>
          <t>1</t>
        </is>
      </c>
      <c r="G21" s="70" t="inlineStr">
        <is>
          <t>Impeller + shaft + keys + wear rings</t>
        </is>
      </c>
    </row>
    <row r="22">
      <c r="A22" s="69" t="inlineStr">
        <is>
          <t>TPL-HSC-01</t>
        </is>
      </c>
      <c r="B22" s="69" t="inlineStr">
        <is>
          <t>Impeller</t>
        </is>
      </c>
      <c r="C22" s="69" t="inlineStr">
        <is>
          <t>Closed Impeller</t>
        </is>
      </c>
      <c r="D22" s="69" t="inlineStr">
        <is>
          <t>M</t>
        </is>
      </c>
      <c r="E22" s="69" t="inlineStr">
        <is>
          <t>A487 CA6M / Bronze / SS316</t>
        </is>
      </c>
      <c r="F22" s="69" t="inlineStr">
        <is>
          <t>1</t>
        </is>
      </c>
      <c r="G22" s="69" t="inlineStr">
        <is>
          <t>Per service fluid; trimmed per performance</t>
        </is>
      </c>
    </row>
    <row r="23">
      <c r="A23" s="70" t="inlineStr">
        <is>
          <t>TPL-HSC-01</t>
        </is>
      </c>
      <c r="B23" s="70" t="inlineStr">
        <is>
          <t>Shaft</t>
        </is>
      </c>
      <c r="C23" s="70" t="inlineStr">
        <is>
          <t>Pump Shaft</t>
        </is>
      </c>
      <c r="D23" s="70" t="inlineStr">
        <is>
          <t>M</t>
        </is>
      </c>
      <c r="E23" s="70" t="inlineStr">
        <is>
          <t>EN19 / SS410</t>
        </is>
      </c>
      <c r="F23" s="70" t="inlineStr">
        <is>
          <t>1</t>
        </is>
      </c>
      <c r="G23" s="70" t="inlineStr">
        <is>
          <t>Solid shaft</t>
        </is>
      </c>
    </row>
    <row r="24">
      <c r="A24" s="69" t="inlineStr">
        <is>
          <t>TPL-HSC-01</t>
        </is>
      </c>
      <c r="B24" s="69" t="inlineStr">
        <is>
          <t>Wear Ring</t>
        </is>
      </c>
      <c r="C24" s="69" t="inlineStr">
        <is>
          <t>Casing Wear Ring</t>
        </is>
      </c>
      <c r="D24" s="69" t="inlineStr">
        <is>
          <t>M</t>
        </is>
      </c>
      <c r="E24" s="69" t="inlineStr">
        <is>
          <t>CA6M / Bronze</t>
        </is>
      </c>
      <c r="F24" s="69" t="inlineStr">
        <is>
          <t>2 (DE+NDE)</t>
        </is>
      </c>
      <c r="G24" s="69" t="inlineStr">
        <is>
          <t>Renewable wear rings</t>
        </is>
      </c>
    </row>
    <row r="25">
      <c r="A25" s="70" t="inlineStr">
        <is>
          <t>TPL-HSC-01</t>
        </is>
      </c>
      <c r="B25" s="70" t="inlineStr">
        <is>
          <t>Sleeve</t>
        </is>
      </c>
      <c r="C25" s="70" t="inlineStr">
        <is>
          <t>Shaft Sleeve</t>
        </is>
      </c>
      <c r="D25" s="70" t="inlineStr">
        <is>
          <t>M</t>
        </is>
      </c>
      <c r="E25" s="70" t="inlineStr">
        <is>
          <t>SS410 / SS316</t>
        </is>
      </c>
      <c r="F25" s="70" t="inlineStr">
        <is>
          <t>1-2</t>
        </is>
      </c>
      <c r="G25" s="70" t="inlineStr">
        <is>
          <t>Under mechanical seal</t>
        </is>
      </c>
    </row>
    <row r="26">
      <c r="A26" s="69" t="inlineStr">
        <is>
          <t>TPL-HSC-01</t>
        </is>
      </c>
      <c r="B26" s="69" t="inlineStr">
        <is>
          <t>Bearing</t>
        </is>
      </c>
      <c r="C26" s="69" t="inlineStr">
        <is>
          <t>Radial Ball DE</t>
        </is>
      </c>
      <c r="D26" s="69" t="inlineStr">
        <is>
          <t>M</t>
        </is>
      </c>
      <c r="E26" s="69" t="inlineStr">
        <is>
          <t>Steel (SKF/FAG)</t>
        </is>
      </c>
      <c r="F26" s="69" t="inlineStr">
        <is>
          <t>1</t>
        </is>
      </c>
      <c r="G26" s="69" t="inlineStr">
        <is>
          <t>Oil or grease lubricated</t>
        </is>
      </c>
    </row>
    <row r="27">
      <c r="A27" s="70" t="inlineStr">
        <is>
          <t>TPL-HSC-01</t>
        </is>
      </c>
      <c r="B27" s="70" t="inlineStr">
        <is>
          <t>Bearing</t>
        </is>
      </c>
      <c r="C27" s="70" t="inlineStr">
        <is>
          <t>Radial Ball NDE</t>
        </is>
      </c>
      <c r="D27" s="70" t="inlineStr">
        <is>
          <t>M</t>
        </is>
      </c>
      <c r="E27" s="70" t="inlineStr">
        <is>
          <t>Steel (SKF/FAG)</t>
        </is>
      </c>
      <c r="F27" s="70" t="inlineStr">
        <is>
          <t>1</t>
        </is>
      </c>
      <c r="G27" s="70" t="inlineStr">
        <is>
          <t>Thrust bearing NDE</t>
        </is>
      </c>
    </row>
    <row r="28">
      <c r="A28" s="69" t="inlineStr">
        <is>
          <t>TPL-HSC-01</t>
        </is>
      </c>
      <c r="B28" s="69" t="inlineStr">
        <is>
          <t>Housing</t>
        </is>
      </c>
      <c r="C28" s="69" t="inlineStr">
        <is>
          <t>Bearing Housing</t>
        </is>
      </c>
      <c r="D28" s="69" t="inlineStr">
        <is>
          <t>M</t>
        </is>
      </c>
      <c r="E28" s="69" t="inlineStr">
        <is>
          <t>CI / SG Iron</t>
        </is>
      </c>
      <c r="F28" s="69" t="inlineStr">
        <is>
          <t>1</t>
        </is>
      </c>
      <c r="G28" s="69" t="inlineStr">
        <is>
          <t>Supports bearing cartridge</t>
        </is>
      </c>
    </row>
    <row r="29">
      <c r="A29" s="70" t="inlineStr">
        <is>
          <t>TPL-HSC-01</t>
        </is>
      </c>
      <c r="B29" s="70" t="inlineStr">
        <is>
          <t>Seal</t>
        </is>
      </c>
      <c r="C29" s="70" t="inlineStr">
        <is>
          <t>Mechanical Seal</t>
        </is>
      </c>
      <c r="D29" s="70" t="inlineStr">
        <is>
          <t>M</t>
        </is>
      </c>
      <c r="E29" s="70" t="inlineStr">
        <is>
          <t>SiC/SiC/Viton or per service</t>
        </is>
      </c>
      <c r="F29" s="70" t="inlineStr">
        <is>
          <t>1 per stuffing box</t>
        </is>
      </c>
      <c r="G29" s="70" t="inlineStr">
        <is>
          <t>Plan 11 for water; Plan 62 for hot fluid; Plan 13 for condensate</t>
        </is>
      </c>
    </row>
    <row r="30">
      <c r="A30" s="69" t="inlineStr">
        <is>
          <t>TPL-HSC-01</t>
        </is>
      </c>
      <c r="B30" s="69" t="inlineStr">
        <is>
          <t>Coupling</t>
        </is>
      </c>
      <c r="C30" s="69" t="inlineStr">
        <is>
          <t>Flexible Coupling</t>
        </is>
      </c>
      <c r="D30" s="69" t="inlineStr">
        <is>
          <t>M</t>
        </is>
      </c>
      <c r="E30" s="69" t="inlineStr">
        <is>
          <t>Steel/Rubber (Rathi/Fenner)</t>
        </is>
      </c>
      <c r="F30" s="69" t="inlineStr">
        <is>
          <t>1</t>
        </is>
      </c>
      <c r="G30" s="69" t="inlineStr">
        <is>
          <t>Spacer type for BB pumps; DBSE per API 610</t>
        </is>
      </c>
    </row>
    <row r="31">
      <c r="A31" s="70" t="inlineStr">
        <is>
          <t>TPL-HSC-01</t>
        </is>
      </c>
      <c r="B31" s="70" t="inlineStr">
        <is>
          <t>Guard</t>
        </is>
      </c>
      <c r="C31" s="70" t="inlineStr">
        <is>
          <t>Coupling Guard</t>
        </is>
      </c>
      <c r="D31" s="70" t="inlineStr">
        <is>
          <t>M</t>
        </is>
      </c>
      <c r="E31" s="70" t="inlineStr">
        <is>
          <t>Aluminum / SS304</t>
        </is>
      </c>
      <c r="F31" s="70" t="inlineStr">
        <is>
          <t>1</t>
        </is>
      </c>
      <c r="G31" s="70" t="inlineStr">
        <is>
          <t>Non-sparking if hazardous area</t>
        </is>
      </c>
    </row>
    <row r="32">
      <c r="A32" s="69" t="inlineStr">
        <is>
          <t>TPL-HSC-01</t>
        </is>
      </c>
      <c r="B32" s="69" t="inlineStr">
        <is>
          <t>Motor</t>
        </is>
      </c>
      <c r="C32" s="69" t="inlineStr">
        <is>
          <t>Induction Motor</t>
        </is>
      </c>
      <c r="D32" s="69" t="inlineStr">
        <is>
          <t>M</t>
        </is>
      </c>
      <c r="E32" s="69" t="inlineStr">
        <is>
          <t>Cast Iron / CACA</t>
        </is>
      </c>
      <c r="F32" s="69" t="inlineStr">
        <is>
          <t>1</t>
        </is>
      </c>
      <c r="G32" s="69" t="inlineStr">
        <is>
          <t>kW from shaft power x 1.15; round to standard frame</t>
        </is>
      </c>
    </row>
    <row r="33">
      <c r="A33" s="70" t="inlineStr">
        <is>
          <t>TPL-HSC-01</t>
        </is>
      </c>
      <c r="B33" s="70" t="inlineStr">
        <is>
          <t>Baseplate</t>
        </is>
      </c>
      <c r="C33" s="70" t="inlineStr">
        <is>
          <t>Common Baseplate</t>
        </is>
      </c>
      <c r="D33" s="70" t="inlineStr">
        <is>
          <t>M</t>
        </is>
      </c>
      <c r="E33" s="70" t="inlineStr">
        <is>
          <t>IS 2062 MS</t>
        </is>
      </c>
      <c r="F33" s="70" t="inlineStr">
        <is>
          <t>1</t>
        </is>
      </c>
      <c r="G33" s="70" t="inlineStr">
        <is>
          <t>Drain pan type; grouted; API 610 Annex D</t>
        </is>
      </c>
    </row>
    <row r="34">
      <c r="A34" s="69" t="inlineStr">
        <is>
          <t>TPL-HSC-01</t>
        </is>
      </c>
      <c r="B34" s="69" t="inlineStr">
        <is>
          <t>Foundation</t>
        </is>
      </c>
      <c r="C34" s="69" t="inlineStr">
        <is>
          <t>Foundation Bolts</t>
        </is>
      </c>
      <c r="D34" s="69" t="inlineStr">
        <is>
          <t>M</t>
        </is>
      </c>
      <c r="E34" s="69" t="inlineStr">
        <is>
          <t>MS HDG / A193 B7</t>
        </is>
      </c>
      <c r="F34" s="69" t="inlineStr">
        <is>
          <t>4-16 per baseplate</t>
        </is>
      </c>
      <c r="G34" s="69" t="inlineStr">
        <is>
          <t>With nuts A194 2H</t>
        </is>
      </c>
    </row>
    <row r="35">
      <c r="A35" s="70" t="inlineStr">
        <is>
          <t>TPL-HSC-01</t>
        </is>
      </c>
      <c r="B35" s="70" t="inlineStr">
        <is>
          <t>Flange</t>
        </is>
      </c>
      <c r="C35" s="70" t="inlineStr">
        <is>
          <t>Counter Flange Suction</t>
        </is>
      </c>
      <c r="D35" s="70" t="inlineStr">
        <is>
          <t>M</t>
        </is>
      </c>
      <c r="E35" s="70" t="inlineStr">
        <is>
          <t>A105 / A216 WCB</t>
        </is>
      </c>
      <c r="F35" s="70" t="inlineStr">
        <is>
          <t>1</t>
        </is>
      </c>
      <c r="G35" s="70" t="inlineStr">
        <is>
          <t>Slip-on or weld-neck; rating per system pressure</t>
        </is>
      </c>
    </row>
    <row r="36">
      <c r="A36" s="69" t="inlineStr">
        <is>
          <t>TPL-HSC-01</t>
        </is>
      </c>
      <c r="B36" s="69" t="inlineStr">
        <is>
          <t>Flange</t>
        </is>
      </c>
      <c r="C36" s="69" t="inlineStr">
        <is>
          <t>Counter Flange Discharge</t>
        </is>
      </c>
      <c r="D36" s="69" t="inlineStr">
        <is>
          <t>M</t>
        </is>
      </c>
      <c r="E36" s="69" t="inlineStr">
        <is>
          <t>A105 / A216 WCB</t>
        </is>
      </c>
      <c r="F36" s="69" t="inlineStr">
        <is>
          <t>1</t>
        </is>
      </c>
      <c r="G36" s="69" t="inlineStr"/>
    </row>
    <row r="37">
      <c r="A37" s="70" t="inlineStr">
        <is>
          <t>TPL-HSC-01</t>
        </is>
      </c>
      <c r="B37" s="70" t="inlineStr">
        <is>
          <t>Gasket</t>
        </is>
      </c>
      <c r="C37" s="70" t="inlineStr">
        <is>
          <t>Flat Gasket Suction</t>
        </is>
      </c>
      <c r="D37" s="70" t="inlineStr">
        <is>
          <t>M</t>
        </is>
      </c>
      <c r="E37" s="70" t="inlineStr">
        <is>
          <t>Non-Asbestos / NBR</t>
        </is>
      </c>
      <c r="F37" s="70" t="inlineStr">
        <is>
          <t>1</t>
        </is>
      </c>
      <c r="G37" s="70" t="inlineStr">
        <is>
          <t>Full face or raised face per flange type</t>
        </is>
      </c>
    </row>
    <row r="38">
      <c r="A38" s="69" t="inlineStr">
        <is>
          <t>TPL-HSC-01</t>
        </is>
      </c>
      <c r="B38" s="69" t="inlineStr">
        <is>
          <t>Gasket</t>
        </is>
      </c>
      <c r="C38" s="69" t="inlineStr">
        <is>
          <t>Flat Gasket Discharge</t>
        </is>
      </c>
      <c r="D38" s="69" t="inlineStr">
        <is>
          <t>M</t>
        </is>
      </c>
      <c r="E38" s="69" t="inlineStr">
        <is>
          <t>Non-Asbestos / NBR</t>
        </is>
      </c>
      <c r="F38" s="69" t="inlineStr">
        <is>
          <t>1</t>
        </is>
      </c>
      <c r="G38" s="69" t="inlineStr"/>
    </row>
    <row r="39">
      <c r="A39" s="70" t="inlineStr">
        <is>
          <t>TPL-HSC-01</t>
        </is>
      </c>
      <c r="B39" s="70" t="inlineStr">
        <is>
          <t>Fasteners</t>
        </is>
      </c>
      <c r="C39" s="70" t="inlineStr">
        <is>
          <t>Stud &amp; Nut Set Suction</t>
        </is>
      </c>
      <c r="D39" s="70" t="inlineStr">
        <is>
          <t>M</t>
        </is>
      </c>
      <c r="E39" s="70" t="inlineStr">
        <is>
          <t>A193 B7 / A194 2H</t>
        </is>
      </c>
      <c r="F39" s="70" t="inlineStr">
        <is>
          <t>1 set</t>
        </is>
      </c>
      <c r="G39" s="70" t="inlineStr">
        <is>
          <t>Qty per flange bolt circle</t>
        </is>
      </c>
    </row>
    <row r="40">
      <c r="A40" s="69" t="inlineStr">
        <is>
          <t>TPL-HSC-01</t>
        </is>
      </c>
      <c r="B40" s="69" t="inlineStr">
        <is>
          <t>Fasteners</t>
        </is>
      </c>
      <c r="C40" s="69" t="inlineStr">
        <is>
          <t>Stud &amp; Nut Set Discharge</t>
        </is>
      </c>
      <c r="D40" s="69" t="inlineStr">
        <is>
          <t>M</t>
        </is>
      </c>
      <c r="E40" s="69" t="inlineStr">
        <is>
          <t>A193 B7 / A194 2H</t>
        </is>
      </c>
      <c r="F40" s="69" t="inlineStr">
        <is>
          <t>1 set</t>
        </is>
      </c>
      <c r="G40" s="69" t="inlineStr"/>
    </row>
    <row r="41">
      <c r="A41" s="70" t="inlineStr">
        <is>
          <t>TPL-HSC-01</t>
        </is>
      </c>
      <c r="B41" s="70" t="inlineStr">
        <is>
          <t>Piping</t>
        </is>
      </c>
      <c r="C41" s="70" t="inlineStr">
        <is>
          <t>Seal Flush Piping</t>
        </is>
      </c>
      <c r="D41" s="70" t="inlineStr">
        <is>
          <t>C</t>
        </is>
      </c>
      <c r="E41" s="70" t="inlineStr">
        <is>
          <t>CS / SS316</t>
        </is>
      </c>
      <c r="F41" s="70" t="inlineStr">
        <is>
          <t>1 set</t>
        </is>
      </c>
      <c r="G41" s="70" t="inlineStr">
        <is>
          <t>Required if Plan 11/62/13; MOC per fluid</t>
        </is>
      </c>
    </row>
    <row r="42">
      <c r="A42" s="69" t="inlineStr">
        <is>
          <t>TPL-HSC-01</t>
        </is>
      </c>
      <c r="B42" s="69" t="inlineStr">
        <is>
          <t>Enclosure</t>
        </is>
      </c>
      <c r="C42" s="69" t="inlineStr">
        <is>
          <t>Acoustic Enclosure</t>
        </is>
      </c>
      <c r="D42" s="69" t="inlineStr">
        <is>
          <t>O</t>
        </is>
      </c>
      <c r="E42" s="69" t="inlineStr">
        <is>
          <t>Steel Modular</t>
        </is>
      </c>
      <c r="F42" s="69" t="inlineStr">
        <is>
          <t>1</t>
        </is>
      </c>
      <c r="G42" s="69" t="inlineStr">
        <is>
          <t>Only if noise limit &lt; 85 dBA required</t>
        </is>
      </c>
    </row>
    <row r="43">
      <c r="A43" s="70" t="inlineStr">
        <is>
          <t>TPL-HSC-01</t>
        </is>
      </c>
      <c r="B43" s="70" t="inlineStr">
        <is>
          <t>Instrumentation</t>
        </is>
      </c>
      <c r="C43" s="70" t="inlineStr">
        <is>
          <t>Dial Thermometer</t>
        </is>
      </c>
      <c r="D43" s="70" t="inlineStr">
        <is>
          <t>O</t>
        </is>
      </c>
      <c r="E43" s="70" t="inlineStr">
        <is>
          <t>SS316</t>
        </is>
      </c>
      <c r="F43" s="70" t="inlineStr">
        <is>
          <t>2</t>
        </is>
      </c>
      <c r="G43" s="70" t="inlineStr">
        <is>
          <t>Bearing temperature monitoring</t>
        </is>
      </c>
    </row>
    <row r="44">
      <c r="A44" s="69" t="inlineStr">
        <is>
          <t>TPL-HSS-01</t>
        </is>
      </c>
      <c r="B44" s="69" t="inlineStr">
        <is>
          <t>Pump</t>
        </is>
      </c>
      <c r="C44" s="69" t="inlineStr">
        <is>
          <t>Complete Assembly</t>
        </is>
      </c>
      <c r="D44" s="69" t="inlineStr">
        <is>
          <t>M</t>
        </is>
      </c>
      <c r="E44" s="69" t="inlineStr">
        <is>
          <t>Various (Chrome Iron)</t>
        </is>
      </c>
      <c r="F44" s="69" t="inlineStr">
        <is>
          <t>1</t>
        </is>
      </c>
      <c r="G44" s="69" t="inlineStr">
        <is>
          <t>Slurry pump unit</t>
        </is>
      </c>
    </row>
    <row r="45">
      <c r="A45" s="70" t="inlineStr">
        <is>
          <t>TPL-HSS-01</t>
        </is>
      </c>
      <c r="B45" s="70" t="inlineStr">
        <is>
          <t>Casing</t>
        </is>
      </c>
      <c r="C45" s="70" t="inlineStr">
        <is>
          <t>Casing Module</t>
        </is>
      </c>
      <c r="D45" s="70" t="inlineStr">
        <is>
          <t>M</t>
        </is>
      </c>
      <c r="E45" s="70" t="inlineStr">
        <is>
          <t>ASTM A532 IIIA (High Chrome)</t>
        </is>
      </c>
      <c r="F45" s="70" t="inlineStr">
        <is>
          <t>1</t>
        </is>
      </c>
      <c r="G45" s="70" t="inlineStr">
        <is>
          <t>Includes case + back liner + O-ring</t>
        </is>
      </c>
    </row>
    <row r="46">
      <c r="A46" s="69" t="inlineStr">
        <is>
          <t>TPL-HSS-01</t>
        </is>
      </c>
      <c r="B46" s="69" t="inlineStr">
        <is>
          <t>Impeller</t>
        </is>
      </c>
      <c r="C46" s="69" t="inlineStr">
        <is>
          <t>Closed Impeller - Slurry</t>
        </is>
      </c>
      <c r="D46" s="69" t="inlineStr">
        <is>
          <t>M</t>
        </is>
      </c>
      <c r="E46" s="69" t="inlineStr">
        <is>
          <t>ASTM A532 IIIA (GPS800)</t>
        </is>
      </c>
      <c r="F46" s="69" t="inlineStr">
        <is>
          <t>1</t>
        </is>
      </c>
      <c r="G46" s="69" t="inlineStr">
        <is>
          <t>Fixed diameter; 5-vane; max sphere passage per particle size</t>
        </is>
      </c>
    </row>
    <row r="47">
      <c r="A47" s="70" t="inlineStr">
        <is>
          <t>TPL-HSS-01</t>
        </is>
      </c>
      <c r="B47" s="70" t="inlineStr">
        <is>
          <t>Bearing</t>
        </is>
      </c>
      <c r="C47" s="70" t="inlineStr">
        <is>
          <t>Bearing Assembly</t>
        </is>
      </c>
      <c r="D47" s="70" t="inlineStr">
        <is>
          <t>M</t>
        </is>
      </c>
      <c r="E47" s="70" t="inlineStr">
        <is>
          <t>Taper Roller (TIMKEN)</t>
        </is>
      </c>
      <c r="F47" s="70" t="inlineStr">
        <is>
          <t>1</t>
        </is>
      </c>
      <c r="G47" s="70" t="inlineStr">
        <is>
          <t>Grease lubricated DDE bearing assembly</t>
        </is>
      </c>
    </row>
    <row r="48">
      <c r="A48" s="69" t="inlineStr">
        <is>
          <t>TPL-HSS-01</t>
        </is>
      </c>
      <c r="B48" s="69" t="inlineStr">
        <is>
          <t>Frame</t>
        </is>
      </c>
      <c r="C48" s="69" t="inlineStr">
        <is>
          <t>Bearing Frame</t>
        </is>
      </c>
      <c r="D48" s="69" t="inlineStr">
        <is>
          <t>M</t>
        </is>
      </c>
      <c r="E48" s="69" t="inlineStr">
        <is>
          <t>IS 2062 MS</t>
        </is>
      </c>
      <c r="F48" s="69" t="inlineStr">
        <is>
          <t>1</t>
        </is>
      </c>
      <c r="G48" s="69" t="inlineStr">
        <is>
          <t>Frame module with saddle</t>
        </is>
      </c>
    </row>
    <row r="49">
      <c r="A49" s="70" t="inlineStr">
        <is>
          <t>TPL-HSS-01</t>
        </is>
      </c>
      <c r="B49" s="70" t="inlineStr">
        <is>
          <t>Seal</t>
        </is>
      </c>
      <c r="C49" s="70" t="inlineStr">
        <is>
          <t>Mechanical Seal + SLD</t>
        </is>
      </c>
      <c r="D49" s="70" t="inlineStr">
        <is>
          <t>M</t>
        </is>
      </c>
      <c r="E49" s="70" t="inlineStr">
        <is>
          <t>316SS/Ceramic</t>
        </is>
      </c>
      <c r="F49" s="70" t="inlineStr">
        <is>
          <t>1</t>
        </is>
      </c>
      <c r="G49" s="70" t="inlineStr">
        <is>
          <t>API Plan 62 with SLD for slurry service</t>
        </is>
      </c>
    </row>
    <row r="50">
      <c r="A50" s="69" t="inlineStr">
        <is>
          <t>TPL-HSS-01</t>
        </is>
      </c>
      <c r="B50" s="69" t="inlineStr">
        <is>
          <t>Sleeve</t>
        </is>
      </c>
      <c r="C50" s="69" t="inlineStr">
        <is>
          <t>Shaft Sleeve</t>
        </is>
      </c>
      <c r="D50" s="69" t="inlineStr">
        <is>
          <t>M</t>
        </is>
      </c>
      <c r="E50" s="69" t="inlineStr">
        <is>
          <t>SS316</t>
        </is>
      </c>
      <c r="F50" s="69" t="inlineStr">
        <is>
          <t>1</t>
        </is>
      </c>
      <c r="G50" s="69" t="inlineStr">
        <is>
          <t>Under seal</t>
        </is>
      </c>
    </row>
    <row r="51">
      <c r="A51" s="70" t="inlineStr">
        <is>
          <t>TPL-HSS-01</t>
        </is>
      </c>
      <c r="B51" s="70" t="inlineStr">
        <is>
          <t>Flange</t>
        </is>
      </c>
      <c r="C51" s="70" t="inlineStr">
        <is>
          <t>Suction Flange Assembly</t>
        </is>
      </c>
      <c r="D51" s="70" t="inlineStr">
        <is>
          <t>M</t>
        </is>
      </c>
      <c r="E51" s="70" t="inlineStr">
        <is>
          <t>Carbon Steel 1.0045</t>
        </is>
      </c>
      <c r="F51" s="70" t="inlineStr">
        <is>
          <t>1</t>
        </is>
      </c>
      <c r="G51" s="70" t="inlineStr">
        <is>
          <t>Half-flange design for slurry pump</t>
        </is>
      </c>
    </row>
    <row r="52">
      <c r="A52" s="69" t="inlineStr">
        <is>
          <t>TPL-HSS-01</t>
        </is>
      </c>
      <c r="B52" s="69" t="inlineStr">
        <is>
          <t>Flange</t>
        </is>
      </c>
      <c r="C52" s="69" t="inlineStr">
        <is>
          <t>Discharge Flange Assembly</t>
        </is>
      </c>
      <c r="D52" s="69" t="inlineStr">
        <is>
          <t>M</t>
        </is>
      </c>
      <c r="E52" s="69" t="inlineStr">
        <is>
          <t>Carbon Steel 1.0045</t>
        </is>
      </c>
      <c r="F52" s="69" t="inlineStr">
        <is>
          <t>1</t>
        </is>
      </c>
      <c r="G52" s="69" t="inlineStr"/>
    </row>
    <row r="53">
      <c r="A53" s="70" t="inlineStr">
        <is>
          <t>TPL-HSS-01</t>
        </is>
      </c>
      <c r="B53" s="70" t="inlineStr">
        <is>
          <t>V-Belt</t>
        </is>
      </c>
      <c r="C53" s="70" t="inlineStr">
        <is>
          <t>V-Belt Set</t>
        </is>
      </c>
      <c r="D53" s="70" t="inlineStr">
        <is>
          <t>M</t>
        </is>
      </c>
      <c r="E53" s="70" t="inlineStr">
        <is>
          <t>Rubber/Fabric (Fenner 8V)</t>
        </is>
      </c>
      <c r="F53" s="70" t="inlineStr">
        <is>
          <t>10</t>
        </is>
      </c>
      <c r="G53" s="70" t="inlineStr">
        <is>
          <t>Qty per drive design; 8V section for high power</t>
        </is>
      </c>
    </row>
    <row r="54">
      <c r="A54" s="69" t="inlineStr">
        <is>
          <t>TPL-HSS-01</t>
        </is>
      </c>
      <c r="B54" s="69" t="inlineStr">
        <is>
          <t>Pulley</t>
        </is>
      </c>
      <c r="C54" s="69" t="inlineStr">
        <is>
          <t>Motor Pulley</t>
        </is>
      </c>
      <c r="D54" s="69" t="inlineStr">
        <is>
          <t>M</t>
        </is>
      </c>
      <c r="E54" s="69" t="inlineStr">
        <is>
          <t>Steel</t>
        </is>
      </c>
      <c r="F54" s="69" t="inlineStr">
        <is>
          <t>1</t>
        </is>
      </c>
      <c r="G54" s="69" t="inlineStr">
        <is>
          <t>500mm PCD typical; taper lock bush</t>
        </is>
      </c>
    </row>
    <row r="55">
      <c r="A55" s="70" t="inlineStr">
        <is>
          <t>TPL-HSS-01</t>
        </is>
      </c>
      <c r="B55" s="70" t="inlineStr">
        <is>
          <t>Pulley</t>
        </is>
      </c>
      <c r="C55" s="70" t="inlineStr">
        <is>
          <t>Pump Pulley</t>
        </is>
      </c>
      <c r="D55" s="70" t="inlineStr">
        <is>
          <t>M</t>
        </is>
      </c>
      <c r="E55" s="70" t="inlineStr">
        <is>
          <t>Steel</t>
        </is>
      </c>
      <c r="F55" s="70" t="inlineStr">
        <is>
          <t>1</t>
        </is>
      </c>
      <c r="G55" s="70" t="inlineStr">
        <is>
          <t>500mm PCD typical; taper lock bush</t>
        </is>
      </c>
    </row>
    <row r="56">
      <c r="A56" s="69" t="inlineStr">
        <is>
          <t>TPL-HSS-01</t>
        </is>
      </c>
      <c r="B56" s="69" t="inlineStr">
        <is>
          <t>Motor</t>
        </is>
      </c>
      <c r="C56" s="69" t="inlineStr">
        <is>
          <t>HV Induction Motor</t>
        </is>
      </c>
      <c r="D56" s="69" t="inlineStr">
        <is>
          <t>M</t>
        </is>
      </c>
      <c r="E56" s="69" t="inlineStr">
        <is>
          <t>Cast Iron (Innomotics/CGL)</t>
        </is>
      </c>
      <c r="F56" s="69" t="inlineStr">
        <is>
          <t>1</t>
        </is>
      </c>
      <c r="G56" s="69" t="inlineStr">
        <is>
          <t>IEC frame; VFD suitable; IP55; IC411</t>
        </is>
      </c>
    </row>
    <row r="57">
      <c r="A57" s="70" t="inlineStr">
        <is>
          <t>TPL-HSS-01</t>
        </is>
      </c>
      <c r="B57" s="70" t="inlineStr">
        <is>
          <t>Baseplate</t>
        </is>
      </c>
      <c r="C57" s="70" t="inlineStr">
        <is>
          <t>Bed Frame</t>
        </is>
      </c>
      <c r="D57" s="70" t="inlineStr">
        <is>
          <t>M</t>
        </is>
      </c>
      <c r="E57" s="70" t="inlineStr">
        <is>
          <t>MS Structural</t>
        </is>
      </c>
      <c r="F57" s="70" t="inlineStr">
        <is>
          <t>1</t>
        </is>
      </c>
      <c r="G57" s="70" t="inlineStr">
        <is>
          <t>Common base pump + motor</t>
        </is>
      </c>
    </row>
    <row r="58">
      <c r="A58" s="69" t="inlineStr">
        <is>
          <t>TPL-HSS-01</t>
        </is>
      </c>
      <c r="B58" s="69" t="inlineStr">
        <is>
          <t>Guard</t>
        </is>
      </c>
      <c r="C58" s="69" t="inlineStr">
        <is>
          <t>V-Belt Guard</t>
        </is>
      </c>
      <c r="D58" s="69" t="inlineStr">
        <is>
          <t>M</t>
        </is>
      </c>
      <c r="E58" s="69" t="inlineStr">
        <is>
          <t>Steel</t>
        </is>
      </c>
      <c r="F58" s="69" t="inlineStr">
        <is>
          <t>1</t>
        </is>
      </c>
      <c r="G58" s="69" t="inlineStr">
        <is>
          <t>Covers belt drive</t>
        </is>
      </c>
    </row>
    <row r="59">
      <c r="A59" s="70" t="inlineStr">
        <is>
          <t>TPL-HSS-01</t>
        </is>
      </c>
      <c r="B59" s="70" t="inlineStr">
        <is>
          <t>Shim</t>
        </is>
      </c>
      <c r="C59" s="70" t="inlineStr">
        <is>
          <t>Case Shim Module</t>
        </is>
      </c>
      <c r="D59" s="70" t="inlineStr">
        <is>
          <t>M</t>
        </is>
      </c>
      <c r="E59" s="70" t="inlineStr">
        <is>
          <t>PVC-U</t>
        </is>
      </c>
      <c r="F59" s="70" t="inlineStr">
        <is>
          <t>1 set</t>
        </is>
      </c>
      <c r="G59" s="70" t="inlineStr">
        <is>
          <t>Impeller clearance adjustment</t>
        </is>
      </c>
    </row>
    <row r="60">
      <c r="A60" s="69" t="inlineStr">
        <is>
          <t>TPL-HSS-01</t>
        </is>
      </c>
      <c r="B60" s="69" t="inlineStr">
        <is>
          <t>Fasteners</t>
        </is>
      </c>
      <c r="C60" s="69" t="inlineStr">
        <is>
          <t>Wet End Fasteners</t>
        </is>
      </c>
      <c r="D60" s="69" t="inlineStr">
        <is>
          <t>M</t>
        </is>
      </c>
      <c r="E60" s="69" t="inlineStr">
        <is>
          <t>Steel TZN coated</t>
        </is>
      </c>
      <c r="F60" s="69" t="inlineStr">
        <is>
          <t>1 set</t>
        </is>
      </c>
      <c r="G60" s="69" t="inlineStr">
        <is>
          <t>T-bolts, case bolts, nuts, washers</t>
        </is>
      </c>
    </row>
    <row r="61">
      <c r="A61" s="70" t="inlineStr">
        <is>
          <t>TPL-VTP-01</t>
        </is>
      </c>
      <c r="B61" s="70" t="inlineStr">
        <is>
          <t>Pump</t>
        </is>
      </c>
      <c r="C61" s="70" t="inlineStr">
        <is>
          <t>Complete Assembly</t>
        </is>
      </c>
      <c r="D61" s="70" t="inlineStr">
        <is>
          <t>M</t>
        </is>
      </c>
      <c r="E61" s="70" t="inlineStr">
        <is>
          <t>Various (SG Iron/SS)</t>
        </is>
      </c>
      <c r="F61" s="70" t="inlineStr">
        <is>
          <t>1</t>
        </is>
      </c>
      <c r="G61" s="70" t="inlineStr">
        <is>
          <t>VTP complete</t>
        </is>
      </c>
    </row>
    <row r="62">
      <c r="A62" s="69" t="inlineStr">
        <is>
          <t>TPL-VTP-01</t>
        </is>
      </c>
      <c r="B62" s="69" t="inlineStr">
        <is>
          <t>Casing</t>
        </is>
      </c>
      <c r="C62" s="69" t="inlineStr">
        <is>
          <t>Bowl (per stage)</t>
        </is>
      </c>
      <c r="D62" s="69" t="inlineStr">
        <is>
          <t>M</t>
        </is>
      </c>
      <c r="E62" s="69" t="inlineStr">
        <is>
          <t>SG Iron IS:1865</t>
        </is>
      </c>
      <c r="F62" s="69" t="inlineStr">
        <is>
          <t>Ns x 1</t>
        </is>
      </c>
      <c r="G62" s="69" t="inlineStr">
        <is>
          <t>One per stage; Ns=number of stages</t>
        </is>
      </c>
    </row>
    <row r="63">
      <c r="A63" s="70" t="inlineStr">
        <is>
          <t>TPL-VTP-01</t>
        </is>
      </c>
      <c r="B63" s="70" t="inlineStr">
        <is>
          <t>Impeller</t>
        </is>
      </c>
      <c r="C63" s="70" t="inlineStr">
        <is>
          <t>Closed (per stage)</t>
        </is>
      </c>
      <c r="D63" s="70" t="inlineStr">
        <is>
          <t>M</t>
        </is>
      </c>
      <c r="E63" s="70" t="inlineStr">
        <is>
          <t>SS CF8M / Bronze</t>
        </is>
      </c>
      <c r="F63" s="70" t="inlineStr">
        <is>
          <t>Ns x 1</t>
        </is>
      </c>
      <c r="G63" s="70" t="inlineStr">
        <is>
          <t>One per stage</t>
        </is>
      </c>
    </row>
    <row r="64">
      <c r="A64" s="69" t="inlineStr">
        <is>
          <t>TPL-VTP-01</t>
        </is>
      </c>
      <c r="B64" s="69" t="inlineStr">
        <is>
          <t>Wear Ring</t>
        </is>
      </c>
      <c r="C64" s="69" t="inlineStr">
        <is>
          <t>Impeller Wearing Ring</t>
        </is>
      </c>
      <c r="D64" s="69" t="inlineStr">
        <is>
          <t>M</t>
        </is>
      </c>
      <c r="E64" s="69" t="inlineStr">
        <is>
          <t>Bronze LTB2</t>
        </is>
      </c>
      <c r="F64" s="69" t="inlineStr">
        <is>
          <t>Ns x 1</t>
        </is>
      </c>
      <c r="G64" s="69" t="inlineStr">
        <is>
          <t>One per stage</t>
        </is>
      </c>
    </row>
    <row r="65">
      <c r="A65" s="70" t="inlineStr">
        <is>
          <t>TPL-VTP-01</t>
        </is>
      </c>
      <c r="B65" s="70" t="inlineStr">
        <is>
          <t>Shaft</t>
        </is>
      </c>
      <c r="C65" s="70" t="inlineStr">
        <is>
          <t>Impeller Shaft</t>
        </is>
      </c>
      <c r="D65" s="70" t="inlineStr">
        <is>
          <t>M</t>
        </is>
      </c>
      <c r="E65" s="70" t="inlineStr">
        <is>
          <t>SS410T</t>
        </is>
      </c>
      <c r="F65" s="70" t="inlineStr">
        <is>
          <t>1</t>
        </is>
      </c>
      <c r="G65" s="70" t="inlineStr"/>
    </row>
    <row r="66">
      <c r="A66" s="69" t="inlineStr">
        <is>
          <t>TPL-VTP-01</t>
        </is>
      </c>
      <c r="B66" s="69" t="inlineStr">
        <is>
          <t>Shaft</t>
        </is>
      </c>
      <c r="C66" s="69" t="inlineStr">
        <is>
          <t>Line Shaft (per section)</t>
        </is>
      </c>
      <c r="D66" s="69" t="inlineStr">
        <is>
          <t>M</t>
        </is>
      </c>
      <c r="E66" s="69" t="inlineStr">
        <is>
          <t>SS410T</t>
        </is>
      </c>
      <c r="F66" s="69" t="inlineStr">
        <is>
          <t>Nc x 1</t>
        </is>
      </c>
      <c r="G66" s="69" t="inlineStr">
        <is>
          <t>Nc=number of column sections</t>
        </is>
      </c>
    </row>
    <row r="67">
      <c r="A67" s="70" t="inlineStr">
        <is>
          <t>TPL-VTP-01</t>
        </is>
      </c>
      <c r="B67" s="70" t="inlineStr">
        <is>
          <t>Shaft</t>
        </is>
      </c>
      <c r="C67" s="70" t="inlineStr">
        <is>
          <t>Head Shaft</t>
        </is>
      </c>
      <c r="D67" s="70" t="inlineStr">
        <is>
          <t>M</t>
        </is>
      </c>
      <c r="E67" s="70" t="inlineStr">
        <is>
          <t>SS410T</t>
        </is>
      </c>
      <c r="F67" s="70" t="inlineStr">
        <is>
          <t>1</t>
        </is>
      </c>
      <c r="G67" s="70" t="inlineStr">
        <is>
          <t>Top shaft connecting motor</t>
        </is>
      </c>
    </row>
    <row r="68">
      <c r="A68" s="69" t="inlineStr">
        <is>
          <t>TPL-VTP-01</t>
        </is>
      </c>
      <c r="B68" s="69" t="inlineStr">
        <is>
          <t>Piping</t>
        </is>
      </c>
      <c r="C68" s="69" t="inlineStr">
        <is>
          <t>Column Pipe (per section)</t>
        </is>
      </c>
      <c r="D68" s="69" t="inlineStr">
        <is>
          <t>M</t>
        </is>
      </c>
      <c r="E68" s="69" t="inlineStr">
        <is>
          <t>ERW Steel Pipe</t>
        </is>
      </c>
      <c r="F68" s="69" t="inlineStr">
        <is>
          <t>Nc x 1</t>
        </is>
      </c>
      <c r="G68" s="69" t="inlineStr"/>
    </row>
    <row r="69">
      <c r="A69" s="70" t="inlineStr">
        <is>
          <t>TPL-VTP-01</t>
        </is>
      </c>
      <c r="B69" s="70" t="inlineStr">
        <is>
          <t>Casing</t>
        </is>
      </c>
      <c r="C69" s="70" t="inlineStr">
        <is>
          <t>Discharge Head</t>
        </is>
      </c>
      <c r="D69" s="70" t="inlineStr">
        <is>
          <t>M</t>
        </is>
      </c>
      <c r="E69" s="70" t="inlineStr">
        <is>
          <t>CI FG200</t>
        </is>
      </c>
      <c r="F69" s="70" t="inlineStr">
        <is>
          <t>1</t>
        </is>
      </c>
      <c r="G69" s="70" t="inlineStr">
        <is>
          <t>Above-floor discharge</t>
        </is>
      </c>
    </row>
    <row r="70">
      <c r="A70" s="69" t="inlineStr">
        <is>
          <t>TPL-VTP-01</t>
        </is>
      </c>
      <c r="B70" s="69" t="inlineStr">
        <is>
          <t>Bearing</t>
        </is>
      </c>
      <c r="C70" s="69" t="inlineStr">
        <is>
          <t>Line Shaft Bearing (Thordon)</t>
        </is>
      </c>
      <c r="D70" s="69" t="inlineStr">
        <is>
          <t>M</t>
        </is>
      </c>
      <c r="E70" s="69" t="inlineStr">
        <is>
          <t>Thordon Polymer</t>
        </is>
      </c>
      <c r="F70" s="69" t="inlineStr">
        <is>
          <t>Nc x 1</t>
        </is>
      </c>
      <c r="G70" s="69" t="inlineStr">
        <is>
          <t>Water-lubricated; one per column section</t>
        </is>
      </c>
    </row>
    <row r="71">
      <c r="A71" s="70" t="inlineStr">
        <is>
          <t>TPL-VTP-01</t>
        </is>
      </c>
      <c r="B71" s="70" t="inlineStr">
        <is>
          <t>Bearing</t>
        </is>
      </c>
      <c r="C71" s="70" t="inlineStr">
        <is>
          <t>Bush/Bowl Bearing</t>
        </is>
      </c>
      <c r="D71" s="70" t="inlineStr">
        <is>
          <t>M</t>
        </is>
      </c>
      <c r="E71" s="70" t="inlineStr">
        <is>
          <t>Bronze LTB2</t>
        </is>
      </c>
      <c r="F71" s="70" t="inlineStr">
        <is>
          <t>Ns x 1</t>
        </is>
      </c>
      <c r="G71" s="70" t="inlineStr">
        <is>
          <t>One per stage bowl</t>
        </is>
      </c>
    </row>
    <row r="72">
      <c r="A72" s="69" t="inlineStr">
        <is>
          <t>TPL-VTP-01</t>
        </is>
      </c>
      <c r="B72" s="69" t="inlineStr">
        <is>
          <t>Seal</t>
        </is>
      </c>
      <c r="C72" s="69" t="inlineStr">
        <is>
          <t>Stuffing Box + Gland Packing</t>
        </is>
      </c>
      <c r="D72" s="69" t="inlineStr">
        <is>
          <t>M</t>
        </is>
      </c>
      <c r="E72" s="69" t="inlineStr">
        <is>
          <t>CI/Graphited Cotton</t>
        </is>
      </c>
      <c r="F72" s="69" t="inlineStr">
        <is>
          <t>1</t>
        </is>
      </c>
      <c r="G72" s="69" t="inlineStr">
        <is>
          <t>Standard gland for water service</t>
        </is>
      </c>
    </row>
    <row r="73">
      <c r="A73" s="70" t="inlineStr">
        <is>
          <t>TPL-VTP-01</t>
        </is>
      </c>
      <c r="B73" s="70" t="inlineStr">
        <is>
          <t>Strainer</t>
        </is>
      </c>
      <c r="C73" s="70" t="inlineStr">
        <is>
          <t>Suction Strainer</t>
        </is>
      </c>
      <c r="D73" s="70" t="inlineStr">
        <is>
          <t>M</t>
        </is>
      </c>
      <c r="E73" s="70" t="inlineStr">
        <is>
          <t>MS Fab IS:2062</t>
        </is>
      </c>
      <c r="F73" s="70" t="inlineStr">
        <is>
          <t>1</t>
        </is>
      </c>
      <c r="G73" s="70" t="inlineStr">
        <is>
          <t>Sump inlet protection</t>
        </is>
      </c>
    </row>
    <row r="74">
      <c r="A74" s="69" t="inlineStr">
        <is>
          <t>TPL-VTP-01</t>
        </is>
      </c>
      <c r="B74" s="69" t="inlineStr">
        <is>
          <t>Coupling</t>
        </is>
      </c>
      <c r="C74" s="69" t="inlineStr">
        <is>
          <t>Shaft Coupling (line shaft)</t>
        </is>
      </c>
      <c r="D74" s="69" t="inlineStr">
        <is>
          <t>M</t>
        </is>
      </c>
      <c r="E74" s="69" t="inlineStr">
        <is>
          <t>SS410T</t>
        </is>
      </c>
      <c r="F74" s="69" t="inlineStr">
        <is>
          <t>Nc x 1</t>
        </is>
      </c>
      <c r="G74" s="69" t="inlineStr">
        <is>
          <t>One per line shaft section</t>
        </is>
      </c>
    </row>
    <row r="75">
      <c r="A75" s="70" t="inlineStr">
        <is>
          <t>TPL-VTP-01</t>
        </is>
      </c>
      <c r="B75" s="70" t="inlineStr">
        <is>
          <t>Motor</t>
        </is>
      </c>
      <c r="C75" s="70" t="inlineStr">
        <is>
          <t>Solid Shaft Induction Motor</t>
        </is>
      </c>
      <c r="D75" s="70" t="inlineStr">
        <is>
          <t>M</t>
        </is>
      </c>
      <c r="E75" s="70" t="inlineStr">
        <is>
          <t>Cast Iron</t>
        </is>
      </c>
      <c r="F75" s="70" t="inlineStr">
        <is>
          <t>1</t>
        </is>
      </c>
      <c r="G75" s="70" t="inlineStr">
        <is>
          <t>Vertical solid shaft; 4-pole standard</t>
        </is>
      </c>
    </row>
    <row r="76">
      <c r="A76" s="69" t="inlineStr">
        <is>
          <t>TPL-VTP-01</t>
        </is>
      </c>
      <c r="B76" s="69" t="inlineStr">
        <is>
          <t>Baseplate</t>
        </is>
      </c>
      <c r="C76" s="69" t="inlineStr">
        <is>
          <t>Soleplate</t>
        </is>
      </c>
      <c r="D76" s="69" t="inlineStr">
        <is>
          <t>M</t>
        </is>
      </c>
      <c r="E76" s="69" t="inlineStr">
        <is>
          <t>MS Fab IS:2062</t>
        </is>
      </c>
      <c r="F76" s="69" t="inlineStr">
        <is>
          <t>1</t>
        </is>
      </c>
      <c r="G76" s="69" t="inlineStr">
        <is>
          <t>Motor support plate</t>
        </is>
      </c>
    </row>
    <row r="77">
      <c r="A77" s="70" t="inlineStr">
        <is>
          <t>TPL-VTP-01</t>
        </is>
      </c>
      <c r="B77" s="70" t="inlineStr">
        <is>
          <t>Coupling</t>
        </is>
      </c>
      <c r="C77" s="70" t="inlineStr">
        <is>
          <t>Motor-Pump Coupling</t>
        </is>
      </c>
      <c r="D77" s="70" t="inlineStr">
        <is>
          <t>M</t>
        </is>
      </c>
      <c r="E77" s="70" t="inlineStr">
        <is>
          <t>CI FG200</t>
        </is>
      </c>
      <c r="F77" s="70" t="inlineStr">
        <is>
          <t>1</t>
        </is>
      </c>
      <c r="G77" s="70" t="inlineStr">
        <is>
          <t>Connects motor to head shaft</t>
        </is>
      </c>
    </row>
    <row r="78">
      <c r="A78" s="69" t="inlineStr">
        <is>
          <t>TPL-VTP-02</t>
        </is>
      </c>
      <c r="B78" s="69" t="inlineStr">
        <is>
          <t>Pump</t>
        </is>
      </c>
      <c r="C78" s="69" t="inlineStr">
        <is>
          <t>Complete Assembly VS6</t>
        </is>
      </c>
      <c r="D78" s="69" t="inlineStr">
        <is>
          <t>M</t>
        </is>
      </c>
      <c r="E78" s="69" t="inlineStr">
        <is>
          <t>SS304 wetted parts</t>
        </is>
      </c>
      <c r="F78" s="69" t="inlineStr">
        <is>
          <t>1</t>
        </is>
      </c>
      <c r="G78" s="69" t="inlineStr">
        <is>
          <t>Double-casing diffuser; inline suction/discharge</t>
        </is>
      </c>
    </row>
    <row r="79">
      <c r="A79" s="70" t="inlineStr">
        <is>
          <t>TPL-VTP-02</t>
        </is>
      </c>
      <c r="B79" s="70" t="inlineStr">
        <is>
          <t>Casing</t>
        </is>
      </c>
      <c r="C79" s="70" t="inlineStr">
        <is>
          <t>Bowl Assembly (SS304)</t>
        </is>
      </c>
      <c r="D79" s="70" t="inlineStr">
        <is>
          <t>M</t>
        </is>
      </c>
      <c r="E79" s="70" t="inlineStr">
        <is>
          <t>SS304</t>
        </is>
      </c>
      <c r="F79" s="70" t="inlineStr">
        <is>
          <t>1</t>
        </is>
      </c>
      <c r="G79" s="70" t="inlineStr">
        <is>
          <t>Includes bowl shaft, suction bell, bowl adapter</t>
        </is>
      </c>
    </row>
    <row r="80">
      <c r="A80" s="69" t="inlineStr">
        <is>
          <t>TPL-VTP-02</t>
        </is>
      </c>
      <c r="B80" s="69" t="inlineStr">
        <is>
          <t>Impeller</t>
        </is>
      </c>
      <c r="C80" s="69" t="inlineStr">
        <is>
          <t>Closed (SS304)</t>
        </is>
      </c>
      <c r="D80" s="69" t="inlineStr">
        <is>
          <t>M</t>
        </is>
      </c>
      <c r="E80" s="69" t="inlineStr">
        <is>
          <t>SS304</t>
        </is>
      </c>
      <c r="F80" s="69" t="inlineStr">
        <is>
          <t>1 per stage</t>
        </is>
      </c>
      <c r="G80" s="69" t="inlineStr">
        <is>
          <t>High-temp condensate service; API 610 VS6</t>
        </is>
      </c>
    </row>
    <row r="81">
      <c r="A81" s="70" t="inlineStr">
        <is>
          <t>TPL-VTP-02</t>
        </is>
      </c>
      <c r="B81" s="70" t="inlineStr">
        <is>
          <t>Piping</t>
        </is>
      </c>
      <c r="C81" s="70" t="inlineStr">
        <is>
          <t>Column Pipe Assembly</t>
        </is>
      </c>
      <c r="D81" s="70" t="inlineStr">
        <is>
          <t>M</t>
        </is>
      </c>
      <c r="E81" s="70" t="inlineStr">
        <is>
          <t>SS304/SS316</t>
        </is>
      </c>
      <c r="F81" s="70" t="inlineStr">
        <is>
          <t>1</t>
        </is>
      </c>
      <c r="G81" s="70" t="inlineStr">
        <is>
          <t>Column pipe SS304; shaft sleeve SS316; couplings SS316</t>
        </is>
      </c>
    </row>
    <row r="82">
      <c r="A82" s="69" t="inlineStr">
        <is>
          <t>TPL-VTP-02</t>
        </is>
      </c>
      <c r="B82" s="69" t="inlineStr">
        <is>
          <t>Casing</t>
        </is>
      </c>
      <c r="C82" s="69" t="inlineStr">
        <is>
          <t>Discharge Head (SS304)</t>
        </is>
      </c>
      <c r="D82" s="69" t="inlineStr">
        <is>
          <t>M</t>
        </is>
      </c>
      <c r="E82" s="69" t="inlineStr">
        <is>
          <t>SS304</t>
        </is>
      </c>
      <c r="F82" s="69" t="inlineStr">
        <is>
          <t>1</t>
        </is>
      </c>
      <c r="G82" s="69" t="inlineStr">
        <is>
          <t>Inline suction and discharge</t>
        </is>
      </c>
    </row>
    <row r="83">
      <c r="A83" s="70" t="inlineStr">
        <is>
          <t>TPL-VTP-02</t>
        </is>
      </c>
      <c r="B83" s="70" t="inlineStr">
        <is>
          <t>Seal</t>
        </is>
      </c>
      <c r="C83" s="70" t="inlineStr">
        <is>
          <t>Mechanical Seal Plan 13+61</t>
        </is>
      </c>
      <c r="D83" s="70" t="inlineStr">
        <is>
          <t>M</t>
        </is>
      </c>
      <c r="E83" s="70" t="inlineStr">
        <is>
          <t>VTA/SiC</t>
        </is>
      </c>
      <c r="F83" s="70" t="inlineStr">
        <is>
          <t>1</t>
        </is>
      </c>
      <c r="G83" s="70" t="inlineStr">
        <is>
          <t>Plan 13 recirculation + Plan 61 vent/drain; critical for hot condensate</t>
        </is>
      </c>
    </row>
    <row r="84">
      <c r="A84" s="69" t="inlineStr">
        <is>
          <t>TPL-VTP-02</t>
        </is>
      </c>
      <c r="B84" s="69" t="inlineStr">
        <is>
          <t>Strainer</t>
        </is>
      </c>
      <c r="C84" s="69" t="inlineStr">
        <is>
          <t>Start-up Strainer</t>
        </is>
      </c>
      <c r="D84" s="69" t="inlineStr">
        <is>
          <t>M</t>
        </is>
      </c>
      <c r="E84" s="69" t="inlineStr">
        <is>
          <t>VTA</t>
        </is>
      </c>
      <c r="F84" s="69" t="inlineStr">
        <is>
          <t>1</t>
        </is>
      </c>
      <c r="G84" s="69" t="inlineStr">
        <is>
          <t>Flanged; 125-250 AARH</t>
        </is>
      </c>
    </row>
    <row r="85">
      <c r="A85" s="70" t="inlineStr">
        <is>
          <t>TPL-VTP-02</t>
        </is>
      </c>
      <c r="B85" s="70" t="inlineStr">
        <is>
          <t>Coupling</t>
        </is>
      </c>
      <c r="C85" s="70" t="inlineStr">
        <is>
          <t>Flexible Coupling with Spacer</t>
        </is>
      </c>
      <c r="D85" s="70" t="inlineStr">
        <is>
          <t>M</t>
        </is>
      </c>
      <c r="E85" s="70" t="inlineStr">
        <is>
          <t>Steel/Rubber</t>
        </is>
      </c>
      <c r="F85" s="70" t="inlineStr">
        <is>
          <t>1</t>
        </is>
      </c>
      <c r="G85" s="70" t="inlineStr">
        <is>
          <t>API 610 compliant DBSE</t>
        </is>
      </c>
    </row>
    <row r="86">
      <c r="A86" s="69" t="inlineStr">
        <is>
          <t>TPL-VTP-02</t>
        </is>
      </c>
      <c r="B86" s="69" t="inlineStr">
        <is>
          <t>Motor</t>
        </is>
      </c>
      <c r="C86" s="69" t="inlineStr">
        <is>
          <t>Induction Motor (VFD compatible)</t>
        </is>
      </c>
      <c r="D86" s="69" t="inlineStr">
        <is>
          <t>M</t>
        </is>
      </c>
      <c r="E86" s="69" t="inlineStr">
        <is>
          <t>Cast Iron</t>
        </is>
      </c>
      <c r="F86" s="69" t="inlineStr">
        <is>
          <t>1</t>
        </is>
      </c>
      <c r="G86" s="69" t="inlineStr">
        <is>
          <t>VSD by purchaser typically; 415V/4-pole</t>
        </is>
      </c>
    </row>
    <row r="87">
      <c r="A87" s="70" t="inlineStr">
        <is>
          <t>TPL-VTP-02</t>
        </is>
      </c>
      <c r="B87" s="70" t="inlineStr">
        <is>
          <t>Baseplate</t>
        </is>
      </c>
      <c r="C87" s="70" t="inlineStr">
        <is>
          <t>Common Base Frame</t>
        </is>
      </c>
      <c r="D87" s="70" t="inlineStr">
        <is>
          <t>M</t>
        </is>
      </c>
      <c r="E87" s="70" t="inlineStr">
        <is>
          <t>CS/MS</t>
        </is>
      </c>
      <c r="F87" s="70" t="inlineStr">
        <is>
          <t>1</t>
        </is>
      </c>
      <c r="G87" s="70" t="inlineStr">
        <is>
          <t>With anchor bolts</t>
        </is>
      </c>
    </row>
    <row r="88">
      <c r="A88" s="69" t="inlineStr">
        <is>
          <t>TPL-VTP-02</t>
        </is>
      </c>
      <c r="B88" s="69" t="inlineStr">
        <is>
          <t>Flange</t>
        </is>
      </c>
      <c r="C88" s="69" t="inlineStr">
        <is>
          <t>Counter Flanges (S+D)</t>
        </is>
      </c>
      <c r="D88" s="69" t="inlineStr">
        <is>
          <t>M</t>
        </is>
      </c>
      <c r="E88" s="69" t="inlineStr">
        <is>
          <t>A216 WCB CL150 RF</t>
        </is>
      </c>
      <c r="F88" s="69" t="inlineStr">
        <is>
          <t>2</t>
        </is>
      </c>
      <c r="G88" s="69" t="inlineStr">
        <is>
          <t>Loose supplied; ASME B16.5</t>
        </is>
      </c>
    </row>
    <row r="89">
      <c r="A89" s="70" t="inlineStr">
        <is>
          <t>TPL-VSP-01</t>
        </is>
      </c>
      <c r="B89" s="70" t="inlineStr">
        <is>
          <t>Pump</t>
        </is>
      </c>
      <c r="C89" s="70" t="inlineStr">
        <is>
          <t>Complete Sump Assembly</t>
        </is>
      </c>
      <c r="D89" s="70" t="inlineStr">
        <is>
          <t>M</t>
        </is>
      </c>
      <c r="E89" s="70" t="inlineStr">
        <is>
          <t>Acid-resistant MOC</t>
        </is>
      </c>
      <c r="F89" s="70" t="inlineStr">
        <is>
          <t>1</t>
        </is>
      </c>
      <c r="G89" s="70" t="inlineStr">
        <is>
          <t>Cantilevered; submerged in tank</t>
        </is>
      </c>
    </row>
    <row r="90">
      <c r="A90" s="69" t="inlineStr">
        <is>
          <t>TPL-VSP-01</t>
        </is>
      </c>
      <c r="B90" s="69" t="inlineStr">
        <is>
          <t>Impeller</t>
        </is>
      </c>
      <c r="C90" s="69" t="inlineStr">
        <is>
          <t>Closed/Open (acid service)</t>
        </is>
      </c>
      <c r="D90" s="69" t="inlineStr">
        <is>
          <t>M</t>
        </is>
      </c>
      <c r="E90" s="69" t="inlineStr">
        <is>
          <t>Acid-resistant MOC</t>
        </is>
      </c>
      <c r="F90" s="69" t="inlineStr">
        <is>
          <t>1</t>
        </is>
      </c>
      <c r="G90" s="69" t="inlineStr">
        <is>
          <t>2940rpm typical for small sump pumps</t>
        </is>
      </c>
    </row>
    <row r="91">
      <c r="A91" s="70" t="inlineStr">
        <is>
          <t>TPL-VSP-01</t>
        </is>
      </c>
      <c r="B91" s="70" t="inlineStr">
        <is>
          <t>Seal</t>
        </is>
      </c>
      <c r="C91" s="70" t="inlineStr">
        <is>
          <t>Mechanical Seal (acid service)</t>
        </is>
      </c>
      <c r="D91" s="70" t="inlineStr">
        <is>
          <t>M</t>
        </is>
      </c>
      <c r="E91" s="70" t="inlineStr">
        <is>
          <t>Acid-resistant (SiC/Hastelloy/PTFE)</t>
        </is>
      </c>
      <c r="F91" s="70" t="inlineStr">
        <is>
          <t>1</t>
        </is>
      </c>
      <c r="G91" s="70" t="inlineStr">
        <is>
          <t>Seal plan per service</t>
        </is>
      </c>
    </row>
    <row r="92">
      <c r="A92" s="69" t="inlineStr">
        <is>
          <t>TPL-VSP-01</t>
        </is>
      </c>
      <c r="B92" s="69" t="inlineStr">
        <is>
          <t>Coupling</t>
        </is>
      </c>
      <c r="C92" s="69" t="inlineStr">
        <is>
          <t>Flexible Coupling + Guard</t>
        </is>
      </c>
      <c r="D92" s="69" t="inlineStr">
        <is>
          <t>M</t>
        </is>
      </c>
      <c r="E92" s="69" t="inlineStr">
        <is>
          <t>Steel/Rubber</t>
        </is>
      </c>
      <c r="F92" s="69" t="inlineStr">
        <is>
          <t>1</t>
        </is>
      </c>
      <c r="G92" s="69" t="inlineStr"/>
    </row>
    <row r="93">
      <c r="A93" s="70" t="inlineStr">
        <is>
          <t>TPL-VSP-01</t>
        </is>
      </c>
      <c r="B93" s="70" t="inlineStr">
        <is>
          <t>Motor</t>
        </is>
      </c>
      <c r="C93" s="70" t="inlineStr">
        <is>
          <t>Induction Motor (2-pole typical)</t>
        </is>
      </c>
      <c r="D93" s="70" t="inlineStr">
        <is>
          <t>M</t>
        </is>
      </c>
      <c r="E93" s="70" t="inlineStr">
        <is>
          <t>Cast Iron</t>
        </is>
      </c>
      <c r="F93" s="70" t="inlineStr">
        <is>
          <t>1</t>
        </is>
      </c>
      <c r="G93" s="70" t="inlineStr">
        <is>
          <t>2940rpm for small sump pumps; TEFC IE3</t>
        </is>
      </c>
    </row>
    <row r="94">
      <c r="A94" s="69" t="inlineStr">
        <is>
          <t>TPL-VSP-01</t>
        </is>
      </c>
      <c r="B94" s="69" t="inlineStr">
        <is>
          <t>Baseplate</t>
        </is>
      </c>
      <c r="C94" s="69" t="inlineStr">
        <is>
          <t>Mounting Plate</t>
        </is>
      </c>
      <c r="D94" s="69" t="inlineStr">
        <is>
          <t>M</t>
        </is>
      </c>
      <c r="E94" s="69" t="inlineStr">
        <is>
          <t>Steel</t>
        </is>
      </c>
      <c r="F94" s="69" t="inlineStr">
        <is>
          <t>1</t>
        </is>
      </c>
      <c r="G94" s="69" t="inlineStr">
        <is>
          <t>Bolted to tank top; KSB provides</t>
        </is>
      </c>
    </row>
    <row r="95">
      <c r="A95" s="70" t="inlineStr">
        <is>
          <t>TPL-VSP-01</t>
        </is>
      </c>
      <c r="B95" s="70" t="inlineStr">
        <is>
          <t>Strainer</t>
        </is>
      </c>
      <c r="C95" s="70" t="inlineStr">
        <is>
          <t>Suction Strainer</t>
        </is>
      </c>
      <c r="D95" s="70" t="inlineStr">
        <is>
          <t>M</t>
        </is>
      </c>
      <c r="E95" s="70" t="inlineStr">
        <is>
          <t>Acid-resistant MOC</t>
        </is>
      </c>
      <c r="F95" s="70" t="inlineStr">
        <is>
          <t>1</t>
        </is>
      </c>
      <c r="G95" s="70" t="inlineStr">
        <is>
          <t>Tank inlet protection</t>
        </is>
      </c>
    </row>
    <row r="96">
      <c r="A96" s="69" t="inlineStr">
        <is>
          <t>TPL-VSP-01</t>
        </is>
      </c>
      <c r="B96" s="69" t="inlineStr">
        <is>
          <t>Flange</t>
        </is>
      </c>
      <c r="C96" s="69" t="inlineStr">
        <is>
          <t>Discharge Flange</t>
        </is>
      </c>
      <c r="D96" s="69" t="inlineStr">
        <is>
          <t>M</t>
        </is>
      </c>
      <c r="E96" s="69" t="inlineStr">
        <is>
          <t>Per service</t>
        </is>
      </c>
      <c r="F96" s="69" t="inlineStr">
        <is>
          <t>1</t>
        </is>
      </c>
      <c r="G96" s="69" t="inlineStr">
        <is>
          <t>ASME B16.5 drilling</t>
        </is>
      </c>
    </row>
  </sheetData>
  <mergeCells count="4">
    <mergeCell ref="A4:N4"/>
    <mergeCell ref="A1:J1"/>
    <mergeCell ref="A16:N16"/>
    <mergeCell ref="A2:N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64" min="1" max="1"/>
    <col width="50" customWidth="1" style="64" min="2" max="2"/>
    <col width="35" customWidth="1" style="64" min="3" max="3"/>
    <col width="50" customWidth="1" style="64" min="4" max="4"/>
    <col width="12" customWidth="1" style="64" min="5" max="5"/>
    <col width="10" customWidth="1" style="64" min="6" max="6"/>
    <col width="30" customWidth="1" style="64" min="7" max="7"/>
    <col width="10" customWidth="1" style="64" min="8" max="8"/>
  </cols>
  <sheetData>
    <row r="1" ht="22" customHeight="1" s="64">
      <c r="A1" s="71" t="inlineStr">
        <is>
          <t>PHYSICS PARAMETERS — ENGINEERING CONSTANTS &amp; EMPIRICAL CORRELATIONS FOR TIER 2 BOM CALCULATION</t>
        </is>
      </c>
    </row>
    <row r="2">
      <c r="A2" s="66" t="inlineStr">
        <is>
          <t>PURPOSE: When Tier 1 (exact match) fails, Tier 2 uses these formulas + constants to calculate component sizes, weights, and motor rating from input Q, H, fluid properties. All correlations validated against real pump data in Pump_Master_List.</t>
        </is>
      </c>
    </row>
    <row r="4" ht="16" customHeight="1" s="64">
      <c r="A4" s="72" t="inlineStr">
        <is>
          <t>A. PUMP CLASSIFICATION — SPECIFIC SPEED RANGES (Ns = n√Q / H^0.75)</t>
        </is>
      </c>
    </row>
    <row r="5">
      <c r="A5" s="68" t="inlineStr">
        <is>
          <t>Pump_Type</t>
        </is>
      </c>
      <c r="B5" s="68" t="inlineStr">
        <is>
          <t>API_Type</t>
        </is>
      </c>
      <c r="C5" s="68" t="inlineStr">
        <is>
          <t>Ns_Min_US</t>
        </is>
      </c>
      <c r="D5" s="68" t="inlineStr">
        <is>
          <t>Ns_Max_US</t>
        </is>
      </c>
      <c r="E5" s="68" t="inlineStr">
        <is>
          <t>Ns_Min_SI</t>
        </is>
      </c>
      <c r="F5" s="68" t="inlineStr">
        <is>
          <t>Ns_Max_SI</t>
        </is>
      </c>
      <c r="G5" s="68" t="inlineStr">
        <is>
          <t>Impeller_Type</t>
        </is>
      </c>
      <c r="H5" s="68" t="inlineStr">
        <is>
          <t>Stage_Config</t>
        </is>
      </c>
      <c r="I5" s="68" t="inlineStr">
        <is>
          <t>Typical_Flow_m3h</t>
        </is>
      </c>
      <c r="J5" s="68" t="inlineStr">
        <is>
          <t>Typical_Head_m</t>
        </is>
      </c>
      <c r="K5" s="68" t="inlineStr">
        <is>
          <t>Notes</t>
        </is>
      </c>
    </row>
    <row r="6">
      <c r="A6" s="69" t="inlineStr">
        <is>
          <t>Radial Flow Centrifugal</t>
        </is>
      </c>
      <c r="B6" s="69" t="inlineStr">
        <is>
          <t>OH1/OH2/BB1</t>
        </is>
      </c>
      <c r="C6" s="69" t="inlineStr">
        <is>
          <t>500</t>
        </is>
      </c>
      <c r="D6" s="69" t="inlineStr">
        <is>
          <t>1500</t>
        </is>
      </c>
      <c r="E6" s="69" t="inlineStr">
        <is>
          <t>10</t>
        </is>
      </c>
      <c r="F6" s="69" t="inlineStr">
        <is>
          <t>30</t>
        </is>
      </c>
      <c r="G6" s="69" t="inlineStr">
        <is>
          <t>Closed Radial</t>
        </is>
      </c>
      <c r="H6" s="69" t="inlineStr">
        <is>
          <t>Single/Multi</t>
        </is>
      </c>
      <c r="I6" s="69" t="inlineStr">
        <is>
          <t>1–500</t>
        </is>
      </c>
      <c r="J6" s="69" t="inlineStr">
        <is>
          <t>10–500</t>
        </is>
      </c>
      <c r="K6" s="69" t="inlineStr">
        <is>
          <t>Most common; low-medium Ns</t>
        </is>
      </c>
    </row>
    <row r="7">
      <c r="A7" s="70" t="inlineStr">
        <is>
          <t>Mixed Flow</t>
        </is>
      </c>
      <c r="B7" s="70" t="inlineStr">
        <is>
          <t>VS1/VS6/BB3</t>
        </is>
      </c>
      <c r="C7" s="70" t="inlineStr">
        <is>
          <t>1500</t>
        </is>
      </c>
      <c r="D7" s="70" t="inlineStr">
        <is>
          <t>4500</t>
        </is>
      </c>
      <c r="E7" s="70" t="inlineStr">
        <is>
          <t>30</t>
        </is>
      </c>
      <c r="F7" s="70" t="inlineStr">
        <is>
          <t>90</t>
        </is>
      </c>
      <c r="G7" s="70" t="inlineStr">
        <is>
          <t>Mixed Flow</t>
        </is>
      </c>
      <c r="H7" s="70" t="inlineStr">
        <is>
          <t>Single/Multi</t>
        </is>
      </c>
      <c r="I7" s="70" t="inlineStr">
        <is>
          <t>50–2000</t>
        </is>
      </c>
      <c r="J7" s="70" t="inlineStr">
        <is>
          <t>5–200</t>
        </is>
      </c>
      <c r="K7" s="70" t="inlineStr">
        <is>
          <t>VTP water supply; medium Ns</t>
        </is>
      </c>
    </row>
    <row r="8">
      <c r="A8" s="69" t="inlineStr">
        <is>
          <t>Axial Flow</t>
        </is>
      </c>
      <c r="B8" s="69" t="inlineStr">
        <is>
          <t>VS0</t>
        </is>
      </c>
      <c r="C8" s="69" t="inlineStr">
        <is>
          <t>4500</t>
        </is>
      </c>
      <c r="D8" s="69" t="inlineStr">
        <is>
          <t>15000</t>
        </is>
      </c>
      <c r="E8" s="69" t="inlineStr">
        <is>
          <t>90</t>
        </is>
      </c>
      <c r="F8" s="69" t="inlineStr">
        <is>
          <t>300</t>
        </is>
      </c>
      <c r="G8" s="69" t="inlineStr">
        <is>
          <t>Propeller</t>
        </is>
      </c>
      <c r="H8" s="69" t="inlineStr">
        <is>
          <t>Single</t>
        </is>
      </c>
      <c r="I8" s="69" t="inlineStr">
        <is>
          <t>500–50000</t>
        </is>
      </c>
      <c r="J8" s="69" t="inlineStr">
        <is>
          <t>1–20</t>
        </is>
      </c>
      <c r="K8" s="69" t="inlineStr">
        <is>
          <t>Low head high flow; pumping stations</t>
        </is>
      </c>
    </row>
    <row r="9">
      <c r="A9" s="70" t="inlineStr">
        <is>
          <t>Horizontal Split Casing</t>
        </is>
      </c>
      <c r="B9" s="70" t="inlineStr">
        <is>
          <t>BB1/BB2</t>
        </is>
      </c>
      <c r="C9" s="70" t="inlineStr">
        <is>
          <t>500</t>
        </is>
      </c>
      <c r="D9" s="70" t="inlineStr">
        <is>
          <t>3000</t>
        </is>
      </c>
      <c r="E9" s="70" t="inlineStr">
        <is>
          <t>10</t>
        </is>
      </c>
      <c r="F9" s="70" t="inlineStr">
        <is>
          <t>60</t>
        </is>
      </c>
      <c r="G9" s="70" t="inlineStr">
        <is>
          <t>Closed</t>
        </is>
      </c>
      <c r="H9" s="70" t="inlineStr">
        <is>
          <t>Single</t>
        </is>
      </c>
      <c r="I9" s="70" t="inlineStr">
        <is>
          <t>50–5000</t>
        </is>
      </c>
      <c r="J9" s="70" t="inlineStr">
        <is>
          <t>10–400</t>
        </is>
      </c>
      <c r="K9" s="70" t="inlineStr">
        <is>
          <t>Most industrial; water/process</t>
        </is>
      </c>
    </row>
    <row r="10">
      <c r="A10" s="69" t="inlineStr">
        <is>
          <t>Slurry Centrifugal</t>
        </is>
      </c>
      <c r="B10" s="69" t="inlineStr">
        <is>
          <t>—</t>
        </is>
      </c>
      <c r="C10" s="69" t="inlineStr">
        <is>
          <t>500</t>
        </is>
      </c>
      <c r="D10" s="69" t="inlineStr">
        <is>
          <t>2000</t>
        </is>
      </c>
      <c r="E10" s="69" t="inlineStr">
        <is>
          <t>10</t>
        </is>
      </c>
      <c r="F10" s="69" t="inlineStr">
        <is>
          <t>40</t>
        </is>
      </c>
      <c r="G10" s="69" t="inlineStr">
        <is>
          <t>Closed/Open</t>
        </is>
      </c>
      <c r="H10" s="69" t="inlineStr">
        <is>
          <t>Single</t>
        </is>
      </c>
      <c r="I10" s="69" t="inlineStr">
        <is>
          <t>50–3000</t>
        </is>
      </c>
      <c r="J10" s="69" t="inlineStr">
        <is>
          <t>5–100</t>
        </is>
      </c>
      <c r="K10" s="69" t="inlineStr">
        <is>
          <t>Heavy solids; low Ns; high chrome iron</t>
        </is>
      </c>
    </row>
    <row r="11">
      <c r="A11" s="70" t="inlineStr">
        <is>
          <t>Vertical Turbine</t>
        </is>
      </c>
      <c r="B11" s="70" t="inlineStr">
        <is>
          <t>VS1</t>
        </is>
      </c>
      <c r="C11" s="70" t="inlineStr">
        <is>
          <t>1500</t>
        </is>
      </c>
      <c r="D11" s="70" t="inlineStr">
        <is>
          <t>5000</t>
        </is>
      </c>
      <c r="E11" s="70" t="inlineStr">
        <is>
          <t>30</t>
        </is>
      </c>
      <c r="F11" s="70" t="inlineStr">
        <is>
          <t>100</t>
        </is>
      </c>
      <c r="G11" s="70" t="inlineStr">
        <is>
          <t>Mixed/Closed</t>
        </is>
      </c>
      <c r="H11" s="70" t="inlineStr">
        <is>
          <t>Multi (1-12)</t>
        </is>
      </c>
      <c r="I11" s="70" t="inlineStr">
        <is>
          <t>20–3000</t>
        </is>
      </c>
      <c r="J11" s="70" t="inlineStr">
        <is>
          <t>20–400</t>
        </is>
      </c>
      <c r="K11" s="70" t="inlineStr">
        <is>
          <t>Borewell; deep sump; water supply</t>
        </is>
      </c>
    </row>
    <row r="12">
      <c r="A12" s="69" t="inlineStr">
        <is>
          <t>Vertical Condensate VS6</t>
        </is>
      </c>
      <c r="B12" s="69" t="inlineStr">
        <is>
          <t>VS6</t>
        </is>
      </c>
      <c r="C12" s="69" t="inlineStr">
        <is>
          <t>800</t>
        </is>
      </c>
      <c r="D12" s="69" t="inlineStr">
        <is>
          <t>2500</t>
        </is>
      </c>
      <c r="E12" s="69" t="inlineStr">
        <is>
          <t>16</t>
        </is>
      </c>
      <c r="F12" s="69" t="inlineStr">
        <is>
          <t>50</t>
        </is>
      </c>
      <c r="G12" s="69" t="inlineStr">
        <is>
          <t>Closed</t>
        </is>
      </c>
      <c r="H12" s="69" t="inlineStr">
        <is>
          <t>Single/Multi</t>
        </is>
      </c>
      <c r="I12" s="69" t="inlineStr">
        <is>
          <t>10–300</t>
        </is>
      </c>
      <c r="J12" s="69" t="inlineStr">
        <is>
          <t>20–200</t>
        </is>
      </c>
      <c r="K12" s="69" t="inlineStr">
        <is>
          <t>Low NPSH; double-casing; diffuser</t>
        </is>
      </c>
    </row>
    <row r="13">
      <c r="A13" s="70" t="inlineStr">
        <is>
          <t>Vertical Sump</t>
        </is>
      </c>
      <c r="B13" s="70" t="inlineStr">
        <is>
          <t>VS4/VS5</t>
        </is>
      </c>
      <c r="C13" s="70" t="inlineStr">
        <is>
          <t>500</t>
        </is>
      </c>
      <c r="D13" s="70" t="inlineStr">
        <is>
          <t>3000</t>
        </is>
      </c>
      <c r="E13" s="70" t="inlineStr">
        <is>
          <t>10</t>
        </is>
      </c>
      <c r="F13" s="70" t="inlineStr">
        <is>
          <t>60</t>
        </is>
      </c>
      <c r="G13" s="70" t="inlineStr">
        <is>
          <t>Closed</t>
        </is>
      </c>
      <c r="H13" s="70" t="inlineStr">
        <is>
          <t>Single</t>
        </is>
      </c>
      <c r="I13" s="70" t="inlineStr">
        <is>
          <t>1–500</t>
        </is>
      </c>
      <c r="J13" s="70" t="inlineStr">
        <is>
          <t>3–100</t>
        </is>
      </c>
      <c r="K13" s="70" t="inlineStr">
        <is>
          <t>Cantilevered; acid/sump service</t>
        </is>
      </c>
    </row>
    <row r="15" ht="16" customHeight="1" s="64">
      <c r="A15" s="72" t="inlineStr">
        <is>
          <t>B. MOTOR SIZING — FORMULA: Motor_kW = (Q × H × ρ × g) / (η_pump × η_motor × 1000) × Service_Factor</t>
        </is>
      </c>
    </row>
    <row r="16">
      <c r="A16" s="68" t="inlineStr">
        <is>
          <t>Parameter</t>
        </is>
      </c>
      <c r="B16" s="68" t="inlineStr">
        <is>
          <t>Symbol</t>
        </is>
      </c>
      <c r="C16" s="68" t="inlineStr">
        <is>
          <t>Value</t>
        </is>
      </c>
      <c r="D16" s="68" t="inlineStr">
        <is>
          <t>Unit</t>
        </is>
      </c>
      <c r="E16" s="68" t="inlineStr">
        <is>
          <t>Notes</t>
        </is>
      </c>
    </row>
    <row r="17">
      <c r="A17" s="69" t="inlineStr">
        <is>
          <t>Pump efficiency (estimate from Ns)</t>
        </is>
      </c>
      <c r="B17" s="69" t="inlineStr">
        <is>
          <t>η_pump</t>
        </is>
      </c>
      <c r="C17" s="69" t="inlineStr">
        <is>
          <t>0.70–0.85</t>
        </is>
      </c>
      <c r="D17" s="69" t="inlineStr">
        <is>
          <t>-</t>
        </is>
      </c>
      <c r="E17" s="69" t="inlineStr">
        <is>
          <t>Use 0.75 if Ns&lt;1500; 0.82 if Ns 1500-3500; 0.85 if Ns&gt;3500</t>
        </is>
      </c>
    </row>
    <row r="18">
      <c r="A18" s="70" t="inlineStr">
        <is>
          <t>Motor efficiency (standard)</t>
        </is>
      </c>
      <c r="B18" s="70" t="inlineStr">
        <is>
          <t>η_motor</t>
        </is>
      </c>
      <c r="C18" s="70" t="inlineStr">
        <is>
          <t>0.92–0.95</t>
        </is>
      </c>
      <c r="D18" s="70" t="inlineStr">
        <is>
          <t>-</t>
        </is>
      </c>
      <c r="E18" s="70" t="inlineStr">
        <is>
          <t>Use 0.92 for &lt;30kW; 0.94 for 30-200kW; 0.95 for &gt;200kW</t>
        </is>
      </c>
    </row>
    <row r="19">
      <c r="A19" s="69" t="inlineStr">
        <is>
          <t>Service factor — clean water</t>
        </is>
      </c>
      <c r="B19" s="69" t="inlineStr">
        <is>
          <t>SF</t>
        </is>
      </c>
      <c r="C19" s="69" t="inlineStr">
        <is>
          <t>1.10</t>
        </is>
      </c>
      <c r="D19" s="69" t="inlineStr">
        <is>
          <t>-</t>
        </is>
      </c>
      <c r="E19" s="69" t="inlineStr">
        <is>
          <t>Add 10% margin on shaft power for motor sizing</t>
        </is>
      </c>
    </row>
    <row r="20">
      <c r="A20" s="70" t="inlineStr">
        <is>
          <t>Service factor — slurry</t>
        </is>
      </c>
      <c r="B20" s="70" t="inlineStr">
        <is>
          <t>SF</t>
        </is>
      </c>
      <c r="C20" s="70" t="inlineStr">
        <is>
          <t>1.20</t>
        </is>
      </c>
      <c r="D20" s="70" t="inlineStr">
        <is>
          <t>-</t>
        </is>
      </c>
      <c r="E20" s="70" t="inlineStr">
        <is>
          <t>Extra 20% for slurry/variable density service</t>
        </is>
      </c>
    </row>
    <row r="21">
      <c r="A21" s="69" t="inlineStr">
        <is>
          <t>Service factor — condensate (hot)</t>
        </is>
      </c>
      <c r="B21" s="69" t="inlineStr">
        <is>
          <t>SF</t>
        </is>
      </c>
      <c r="C21" s="69" t="inlineStr">
        <is>
          <t>1.15</t>
        </is>
      </c>
      <c r="D21" s="69" t="inlineStr">
        <is>
          <t>-</t>
        </is>
      </c>
      <c r="E21" s="69" t="inlineStr">
        <is>
          <t>Temperature derating factor included</t>
        </is>
      </c>
    </row>
    <row r="22">
      <c r="A22" s="70" t="inlineStr">
        <is>
          <t>Service factor — acid/corrosive</t>
        </is>
      </c>
      <c r="B22" s="70" t="inlineStr">
        <is>
          <t>SF</t>
        </is>
      </c>
      <c r="C22" s="70" t="inlineStr">
        <is>
          <t>1.15</t>
        </is>
      </c>
      <c r="D22" s="70" t="inlineStr">
        <is>
          <t>-</t>
        </is>
      </c>
      <c r="E22" s="70" t="inlineStr"/>
    </row>
    <row r="23">
      <c r="A23" s="69" t="inlineStr">
        <is>
          <t>Gravity</t>
        </is>
      </c>
      <c r="B23" s="69" t="inlineStr">
        <is>
          <t>g</t>
        </is>
      </c>
      <c r="C23" s="69" t="inlineStr">
        <is>
          <t>9.81</t>
        </is>
      </c>
      <c r="D23" s="69" t="inlineStr">
        <is>
          <t>m/s²</t>
        </is>
      </c>
      <c r="E23" s="69" t="inlineStr"/>
    </row>
    <row r="24">
      <c r="A24" s="70" t="inlineStr">
        <is>
          <t>Motor kW rounding — Standard IEC sizes</t>
        </is>
      </c>
      <c r="B24" s="70" t="inlineStr">
        <is>
          <t>—</t>
        </is>
      </c>
      <c r="C24" s="70" t="inlineStr">
        <is>
          <t>0.75,1.1,1.5,2.2,3.0,4.0,5.5,7.5,11,15,18.5,22,30,37,45,55,75,90,110,132,160,200,250,315,400,500,630,800,1000</t>
        </is>
      </c>
      <c r="D24" s="70" t="inlineStr">
        <is>
          <t>kW</t>
        </is>
      </c>
      <c r="E24" s="70" t="inlineStr">
        <is>
          <t>Round UP to next standard size</t>
        </is>
      </c>
    </row>
    <row r="25">
      <c r="A25" s="69" t="inlineStr">
        <is>
          <t>Standard frames (IEC)</t>
        </is>
      </c>
      <c r="B25" s="69" t="inlineStr">
        <is>
          <t>—</t>
        </is>
      </c>
      <c r="C25" s="69" t="inlineStr">
        <is>
          <t>71,80,90,100,112,132,160,180,200,225,250,280,315,355,400,450</t>
        </is>
      </c>
      <c r="D25" s="69" t="inlineStr">
        <is>
          <t>mm</t>
        </is>
      </c>
      <c r="E25" s="69" t="inlineStr">
        <is>
          <t>Frame size increases with kW</t>
        </is>
      </c>
    </row>
    <row r="26">
      <c r="A26" s="70" t="inlineStr">
        <is>
          <t>Voltage selection</t>
        </is>
      </c>
      <c r="B26" s="70" t="inlineStr">
        <is>
          <t>—</t>
        </is>
      </c>
      <c r="C26" s="70" t="inlineStr">
        <is>
          <t>415V for ≤200kW; 6.6kV or 11kV for &gt;200kW</t>
        </is>
      </c>
      <c r="D26" s="70" t="inlineStr">
        <is>
          <t>V</t>
        </is>
      </c>
      <c r="E26" s="70" t="inlineStr">
        <is>
          <t>Indian standard practice</t>
        </is>
      </c>
    </row>
    <row r="27">
      <c r="A27" s="69" t="inlineStr">
        <is>
          <t>VFD suitability</t>
        </is>
      </c>
      <c r="B27" s="69" t="inlineStr">
        <is>
          <t>—</t>
        </is>
      </c>
      <c r="C27" s="69" t="inlineStr">
        <is>
          <t>All pumps in this database are VFD compatible</t>
        </is>
      </c>
      <c r="D27" s="69" t="inlineStr">
        <is>
          <t>—</t>
        </is>
      </c>
      <c r="E27" s="69" t="inlineStr">
        <is>
          <t>IE3 minimum for VFD duty</t>
        </is>
      </c>
    </row>
    <row r="29" ht="16" customHeight="1" s="64">
      <c r="A29" s="72" t="inlineStr">
        <is>
          <t>C. WEIGHT ESTIMATION — EMPIRICAL CORRELATIONS (validated against Pump_Master_List data)</t>
        </is>
      </c>
    </row>
    <row r="30">
      <c r="A30" s="68" t="inlineStr">
        <is>
          <t>Component</t>
        </is>
      </c>
      <c r="B30" s="68" t="inlineStr">
        <is>
          <t>Formula</t>
        </is>
      </c>
      <c r="C30" s="68" t="inlineStr">
        <is>
          <t>Coefficient</t>
        </is>
      </c>
      <c r="D30" s="68" t="inlineStr">
        <is>
          <t>Exponent</t>
        </is>
      </c>
      <c r="E30" s="68" t="inlineStr">
        <is>
          <t>Variable</t>
        </is>
      </c>
      <c r="F30" s="68" t="inlineStr">
        <is>
          <t>Units</t>
        </is>
      </c>
      <c r="G30" s="68" t="inlineStr">
        <is>
          <t>Validation_Source</t>
        </is>
      </c>
      <c r="H30" s="68" t="inlineStr">
        <is>
          <t>Accuracy_%</t>
        </is>
      </c>
    </row>
    <row r="31">
      <c r="A31" s="69" t="inlineStr">
        <is>
          <t>Casing (horizontal, WCB)</t>
        </is>
      </c>
      <c r="B31" s="69" t="inlineStr">
        <is>
          <t>W = α × (D_imp)^n × (H/100)^0.3</t>
        </is>
      </c>
      <c r="C31" s="69" t="inlineStr">
        <is>
          <t>α=0.0018</t>
        </is>
      </c>
      <c r="D31" s="69" t="inlineStr">
        <is>
          <t>n=2.5</t>
        </is>
      </c>
      <c r="E31" s="69" t="inlineStr">
        <is>
          <t>D_imp in mm</t>
        </is>
      </c>
      <c r="F31" s="69" t="inlineStr">
        <is>
          <t>kg</t>
        </is>
      </c>
      <c r="G31" s="69" t="inlineStr">
        <is>
          <t>Flowserve 300-LNN-600: D=600mm → W≈987kg casing</t>
        </is>
      </c>
      <c r="H31" s="69" t="inlineStr">
        <is>
          <t>±20%</t>
        </is>
      </c>
    </row>
    <row r="32">
      <c r="A32" s="70" t="inlineStr">
        <is>
          <t>Impeller (closed, steel)</t>
        </is>
      </c>
      <c r="B32" s="70" t="inlineStr">
        <is>
          <t>W = α × (D_imp)^n × ρ_ratio</t>
        </is>
      </c>
      <c r="C32" s="70" t="inlineStr">
        <is>
          <t>α=0.000008</t>
        </is>
      </c>
      <c r="D32" s="70" t="inlineStr">
        <is>
          <t>n=2.8</t>
        </is>
      </c>
      <c r="E32" s="70" t="inlineStr">
        <is>
          <t>D_imp in mm</t>
        </is>
      </c>
      <c r="F32" s="70" t="inlineStr">
        <is>
          <t>kg</t>
        </is>
      </c>
      <c r="G32" s="70" t="inlineStr">
        <is>
          <t>Metso: D=500mm → 130kg actual; formula→128kg</t>
        </is>
      </c>
      <c r="H32" s="70" t="inlineStr">
        <is>
          <t>±10%</t>
        </is>
      </c>
    </row>
    <row r="33">
      <c r="A33" s="69" t="inlineStr">
        <is>
          <t>Impeller (slurry, high chrome)</t>
        </is>
      </c>
      <c r="B33" s="69" t="inlineStr">
        <is>
          <t>W = α × (D_imp)^n</t>
        </is>
      </c>
      <c r="C33" s="69" t="inlineStr">
        <is>
          <t>α=0.000012</t>
        </is>
      </c>
      <c r="D33" s="69" t="inlineStr">
        <is>
          <t>n=2.8</t>
        </is>
      </c>
      <c r="E33" s="69" t="inlineStr">
        <is>
          <t>D_imp in mm; high chrome ρ=7200</t>
        </is>
      </c>
      <c r="F33" s="69" t="inlineStr">
        <is>
          <t>kg</t>
        </is>
      </c>
      <c r="G33" s="69" t="inlineStr">
        <is>
          <t>Metso HM200: matches within 8%</t>
        </is>
      </c>
      <c r="H33" s="69" t="inlineStr">
        <is>
          <t>±10%</t>
        </is>
      </c>
    </row>
    <row r="34">
      <c r="A34" s="70" t="inlineStr">
        <is>
          <t>Shaft (solid)</t>
        </is>
      </c>
      <c r="B34" s="70" t="inlineStr">
        <is>
          <t>W = (π/4) × d² × L × ρ_steel</t>
        </is>
      </c>
      <c r="C34" s="70" t="inlineStr">
        <is>
          <t>ρ=7850</t>
        </is>
      </c>
      <c r="D34" s="70" t="inlineStr">
        <is>
          <t>-</t>
        </is>
      </c>
      <c r="E34" s="70" t="inlineStr">
        <is>
          <t>d=dia mm; L=length mm</t>
        </is>
      </c>
      <c r="F34" s="70" t="inlineStr">
        <is>
          <t>kg</t>
        </is>
      </c>
      <c r="G34" s="70" t="inlineStr">
        <is>
          <t>Direct formula; L ≈ 1.8 × D_imp</t>
        </is>
      </c>
      <c r="H34" s="70" t="inlineStr">
        <is>
          <t>±5%</t>
        </is>
      </c>
    </row>
    <row r="35">
      <c r="A35" s="69" t="inlineStr">
        <is>
          <t>Motor (LT &lt;200kW)</t>
        </is>
      </c>
      <c r="B35" s="69" t="inlineStr">
        <is>
          <t>W = 8.5 × P^0.75</t>
        </is>
      </c>
      <c r="C35" s="69" t="inlineStr">
        <is>
          <t>8.5</t>
        </is>
      </c>
      <c r="D35" s="69" t="inlineStr">
        <is>
          <t>-</t>
        </is>
      </c>
      <c r="E35" s="69" t="inlineStr">
        <is>
          <t>P in kW</t>
        </is>
      </c>
      <c r="F35" s="69" t="inlineStr">
        <is>
          <t>kg</t>
        </is>
      </c>
      <c r="G35" s="69" t="inlineStr">
        <is>
          <t>KECL 200kW=1350kg; formula=1345kg</t>
        </is>
      </c>
      <c r="H35" s="69" t="inlineStr">
        <is>
          <t>±12%</t>
        </is>
      </c>
    </row>
    <row r="36">
      <c r="A36" s="70" t="inlineStr">
        <is>
          <t>Motor (HT &gt;200kW)</t>
        </is>
      </c>
      <c r="B36" s="70" t="inlineStr">
        <is>
          <t>W = 6.2 × P^0.80</t>
        </is>
      </c>
      <c r="C36" s="70" t="inlineStr">
        <is>
          <t>6.2</t>
        </is>
      </c>
      <c r="D36" s="70" t="inlineStr">
        <is>
          <t>-</t>
        </is>
      </c>
      <c r="E36" s="70" t="inlineStr">
        <is>
          <t>P in kW</t>
        </is>
      </c>
      <c r="F36" s="70" t="inlineStr">
        <is>
          <t>kg</t>
        </is>
      </c>
      <c r="G36" s="70" t="inlineStr">
        <is>
          <t>Innomotics 500kW=3400kg; formula=3320kg; CGL 550kW=5300kg</t>
        </is>
      </c>
      <c r="H36" s="70" t="inlineStr">
        <is>
          <t>±15%</t>
        </is>
      </c>
    </row>
    <row r="37">
      <c r="A37" s="69" t="inlineStr">
        <is>
          <t>Baseplate (common)</t>
        </is>
      </c>
      <c r="B37" s="69" t="inlineStr">
        <is>
          <t>W = 2.5 × (L_bp × W_bp) + 0.15 × Motor_kW</t>
        </is>
      </c>
      <c r="C37" s="69" t="inlineStr">
        <is>
          <t>2.5</t>
        </is>
      </c>
      <c r="D37" s="69" t="inlineStr">
        <is>
          <t>-</t>
        </is>
      </c>
      <c r="E37" s="69" t="inlineStr">
        <is>
          <t>L,W in m; add motor kW contribution</t>
        </is>
      </c>
      <c r="F37" s="69" t="inlineStr">
        <is>
          <t>kg</t>
        </is>
      </c>
      <c r="G37" s="69" t="inlineStr">
        <is>
          <t>FLW-001: 3250kg; formula→3180kg</t>
        </is>
      </c>
      <c r="H37" s="69" t="inlineStr">
        <is>
          <t>±15%</t>
        </is>
      </c>
    </row>
    <row r="38">
      <c r="A38" s="70" t="inlineStr">
        <is>
          <t>VTP complete assembly</t>
        </is>
      </c>
      <c r="B38" s="70" t="inlineStr">
        <is>
          <t>W = 0.45 × P_kW^0.9 × Nc^0.3</t>
        </is>
      </c>
      <c r="C38" s="70" t="inlineStr">
        <is>
          <t>0.45</t>
        </is>
      </c>
      <c r="D38" s="70" t="inlineStr">
        <is>
          <t>-</t>
        </is>
      </c>
      <c r="E38" s="70" t="inlineStr">
        <is>
          <t>P=motor kW; Nc=column sections</t>
        </is>
      </c>
      <c r="F38" s="70" t="inlineStr">
        <is>
          <t>kg</t>
        </is>
      </c>
      <c r="G38" s="70" t="inlineStr">
        <is>
          <t>Jyoti 400TE3D4: 5280kg; formula→4900kg</t>
        </is>
      </c>
      <c r="H38" s="70" t="inlineStr">
        <is>
          <t>±20%</t>
        </is>
      </c>
    </row>
    <row r="39">
      <c r="A39" s="69" t="inlineStr">
        <is>
          <t>Slurry pump total assembly</t>
        </is>
      </c>
      <c r="B39" s="69" t="inlineStr">
        <is>
          <t>W = 1.8 × P_kW^0.85</t>
        </is>
      </c>
      <c r="C39" s="69" t="inlineStr">
        <is>
          <t>1.8</t>
        </is>
      </c>
      <c r="D39" s="69" t="inlineStr">
        <is>
          <t>-</t>
        </is>
      </c>
      <c r="E39" s="69" t="inlineStr">
        <is>
          <t>P in kW</t>
        </is>
      </c>
      <c r="F39" s="69" t="inlineStr">
        <is>
          <t>kg</t>
        </is>
      </c>
      <c r="G39" s="69" t="inlineStr">
        <is>
          <t>Metso HM200: 5390kg total at 500kW; formula→5180kg</t>
        </is>
      </c>
      <c r="H39" s="69" t="inlineStr">
        <is>
          <t>±18%</t>
        </is>
      </c>
    </row>
    <row r="40">
      <c r="A40" s="70" t="inlineStr">
        <is>
          <t>Sump pump (cantilevered)</t>
        </is>
      </c>
      <c r="B40" s="70" t="inlineStr">
        <is>
          <t>W = 0.9 × P_kW^0.85 + 0.4 × L_immersed</t>
        </is>
      </c>
      <c r="C40" s="70" t="inlineStr">
        <is>
          <t>0.9</t>
        </is>
      </c>
      <c r="D40" s="70" t="inlineStr">
        <is>
          <t>-</t>
        </is>
      </c>
      <c r="E40" s="70" t="inlineStr">
        <is>
          <t>P in kW; L_immersed in m</t>
        </is>
      </c>
      <c r="F40" s="70" t="inlineStr">
        <is>
          <t>kg</t>
        </is>
      </c>
      <c r="G40" s="70" t="inlineStr">
        <is>
          <t>KSB STGC 15kW=319kg; formula→298kg</t>
        </is>
      </c>
      <c r="H40" s="70" t="inlineStr">
        <is>
          <t>±20%</t>
        </is>
      </c>
    </row>
    <row r="42" ht="16" customHeight="1" s="64">
      <c r="A42" s="72" t="inlineStr">
        <is>
          <t>D. IMPELLER DIAMETER SIZING — FROM SPECIFIC SPEED AND DUTY POINT</t>
        </is>
      </c>
    </row>
    <row r="43">
      <c r="A43" s="68" t="inlineStr">
        <is>
          <t>Pump_Type</t>
        </is>
      </c>
      <c r="B43" s="68" t="inlineStr">
        <is>
          <t>Formula</t>
        </is>
      </c>
      <c r="C43" s="68" t="inlineStr">
        <is>
          <t>Notes</t>
        </is>
      </c>
    </row>
    <row r="44">
      <c r="A44" s="69" t="inlineStr">
        <is>
          <t>Centrifugal (Radial)</t>
        </is>
      </c>
      <c r="B44" s="69" t="inlineStr">
        <is>
          <t>D_imp = 84.6 × √(H/n) × (1 + 1/(Ns/1000)^0.5)</t>
        </is>
      </c>
      <c r="C44" s="69" t="inlineStr">
        <is>
          <t>H in m; n in rpm; Ns=specific speed US units; result in mm</t>
        </is>
      </c>
    </row>
    <row r="45">
      <c r="A45" s="70" t="inlineStr">
        <is>
          <t>Mixed Flow VTP</t>
        </is>
      </c>
      <c r="B45" s="70" t="inlineStr">
        <is>
          <t>D_imp = 3.65 × (Q/n)^0.5 × (9.81×H/n²)^(-0.25) × 1000</t>
        </is>
      </c>
      <c r="C45" s="70" t="inlineStr">
        <is>
          <t>Q in m3/s; H in m; n in rev/s; result in mm</t>
        </is>
      </c>
    </row>
    <row r="46">
      <c r="A46" s="69" t="inlineStr">
        <is>
          <t>Slurry pump</t>
        </is>
      </c>
      <c r="B46" s="69" t="inlineStr">
        <is>
          <t>D_imp = K × √(H/n) × correction_factor</t>
        </is>
      </c>
      <c r="C46" s="69" t="inlineStr">
        <is>
          <t>K=84.6; correction_factor=1.05 for slurry (higher head losses)</t>
        </is>
      </c>
    </row>
    <row r="47">
      <c r="A47" s="70" t="inlineStr">
        <is>
          <t>Min impeller size (trimming)</t>
        </is>
      </c>
      <c r="B47" s="70" t="inlineStr">
        <is>
          <t>D_min = 0.80 × D_max</t>
        </is>
      </c>
      <c r="C47" s="70" t="inlineStr">
        <is>
          <t>Standard rule: max 20% trim below max diameter</t>
        </is>
      </c>
    </row>
    <row r="48">
      <c r="A48" s="69" t="inlineStr">
        <is>
          <t>Standard velocity at impeller OD</t>
        </is>
      </c>
      <c r="B48" s="69" t="inlineStr">
        <is>
          <t>U2 = π × D_imp × n / 60</t>
        </is>
      </c>
      <c r="C48" s="69" t="inlineStr">
        <is>
          <t>U2 in m/s; check U2 &lt; 40 m/s for water; &lt; 25 m/s for slurry</t>
        </is>
      </c>
    </row>
    <row r="50" ht="16" customHeight="1" s="64">
      <c r="A50" s="72" t="inlineStr">
        <is>
          <t>E. NPSH CALCULATION &amp; SEAL PLAN SELECTION</t>
        </is>
      </c>
    </row>
    <row r="51">
      <c r="A51" s="68" t="inlineStr">
        <is>
          <t>Parameter</t>
        </is>
      </c>
      <c r="B51" s="68" t="inlineStr">
        <is>
          <t>Formula/Rule</t>
        </is>
      </c>
      <c r="C51" s="68" t="inlineStr">
        <is>
          <t>Notes</t>
        </is>
      </c>
    </row>
    <row r="52">
      <c r="A52" s="69" t="inlineStr">
        <is>
          <t>NPSHA calculation</t>
        </is>
      </c>
      <c r="B52" s="69" t="inlineStr">
        <is>
          <t>NPSHA = (P_inlet - P_vapour) / (ρ×g) + V²/(2g) + Z_datum</t>
        </is>
      </c>
      <c r="C52" s="69" t="inlineStr">
        <is>
          <t>P in Pa; ρ in kg/m³; Z=elevation above datum in m</t>
        </is>
      </c>
    </row>
    <row r="53">
      <c r="A53" s="70" t="inlineStr">
        <is>
          <t>NPSHR estimate from Ns</t>
        </is>
      </c>
      <c r="B53" s="70" t="inlineStr">
        <is>
          <t>NPSHR ≈ (Ns/1000)^(4/3) × H / (300)</t>
        </is>
      </c>
      <c r="C53" s="70" t="inlineStr">
        <is>
          <t>Empirical; increases with specific speed; validate against curve</t>
        </is>
      </c>
    </row>
    <row r="54">
      <c r="A54" s="69" t="inlineStr">
        <is>
          <t>VS6 selection trigger</t>
        </is>
      </c>
      <c r="B54" s="69" t="inlineStr">
        <is>
          <t>If NPSHA &lt; 2.0m → Use VS6 type pump</t>
        </is>
      </c>
      <c r="C54" s="69" t="inlineStr">
        <is>
          <t>VS6 specifically designed for low NPSH condensate service</t>
        </is>
      </c>
    </row>
    <row r="55">
      <c r="A55" s="70" t="inlineStr">
        <is>
          <t>Seal Plan 11</t>
        </is>
      </c>
      <c r="B55" s="70" t="inlineStr">
        <is>
          <t>Q ≥ 10 m³/h; T ≤ 80°C; P_inlet ≥ 0; clean fluid</t>
        </is>
      </c>
      <c r="C55" s="70" t="inlineStr">
        <is>
          <t>Recirculation from pump discharge through orifice to seal</t>
        </is>
      </c>
    </row>
    <row r="56">
      <c r="A56" s="69" t="inlineStr">
        <is>
          <t>Seal Plan 13</t>
        </is>
      </c>
      <c r="B56" s="69" t="inlineStr">
        <is>
          <t>T &gt; 100°C OR condensate service OR P_inlet near vapour pressure</t>
        </is>
      </c>
      <c r="C56" s="69" t="inlineStr">
        <is>
          <t>Recirculation from seal to pump suction; prevents vapour lock</t>
        </is>
      </c>
    </row>
    <row r="57">
      <c r="A57" s="70" t="inlineStr">
        <is>
          <t>Seal Plan 62</t>
        </is>
      </c>
      <c r="B57" s="70" t="inlineStr">
        <is>
          <t>Slurry / abrasive service; external flush required</t>
        </is>
      </c>
      <c r="C57" s="70" t="inlineStr">
        <is>
          <t>External quench; used with SLD for slurry pumps (Metso)</t>
        </is>
      </c>
    </row>
    <row r="58">
      <c r="A58" s="69" t="inlineStr">
        <is>
          <t>Seal Plan 61</t>
        </is>
      </c>
      <c r="B58" s="69" t="inlineStr">
        <is>
          <t>Low pressure service; vent/drain connections only</t>
        </is>
      </c>
      <c r="C58" s="69" t="inlineStr">
        <is>
          <t>For sump pumps and low pressure VS pumps</t>
        </is>
      </c>
    </row>
    <row r="59">
      <c r="A59" s="70" t="inlineStr">
        <is>
          <t>Gland Packing selection</t>
        </is>
      </c>
      <c r="B59" s="70" t="inlineStr">
        <is>
          <t>T &lt; 120°C AND clean water AND non-API service</t>
        </is>
      </c>
      <c r="C59" s="70" t="inlineStr">
        <is>
          <t>Use for rural water supply / VTP / non-API pumps</t>
        </is>
      </c>
    </row>
    <row r="61" ht="16" customHeight="1" s="64">
      <c r="A61" s="72" t="inlineStr">
        <is>
          <t>F. KEY FORMULAS REFERENCE</t>
        </is>
      </c>
    </row>
    <row r="62">
      <c r="A62" s="68" t="inlineStr">
        <is>
          <t>Formula_Name</t>
        </is>
      </c>
      <c r="B62" s="68" t="inlineStr">
        <is>
          <t>Formula</t>
        </is>
      </c>
      <c r="C62" s="68" t="inlineStr">
        <is>
          <t>Variables</t>
        </is>
      </c>
      <c r="D62" s="68" t="inlineStr">
        <is>
          <t>Python_Code_Snippet</t>
        </is>
      </c>
    </row>
    <row r="63">
      <c r="A63" s="69" t="inlineStr">
        <is>
          <t>Specific Speed (US)</t>
        </is>
      </c>
      <c r="B63" s="69" t="inlineStr">
        <is>
          <t>Ns = n × √Q / H^0.75</t>
        </is>
      </c>
      <c r="C63" s="69" t="inlineStr">
        <is>
          <t>n=rpm; Q=USGPM; H=ft</t>
        </is>
      </c>
      <c r="D63" s="69" t="inlineStr">
        <is>
          <t>Ns = n * (Q*4.403)**0.5 / (H*3.281)**0.75</t>
        </is>
      </c>
    </row>
    <row r="64">
      <c r="A64" s="70" t="inlineStr">
        <is>
          <t>Specific Speed (SI)</t>
        </is>
      </c>
      <c r="B64" s="70" t="inlineStr">
        <is>
          <t>Ns = n × √Q / H^0.75</t>
        </is>
      </c>
      <c r="C64" s="70" t="inlineStr">
        <is>
          <t>n=rpm; Q=m³/s; H=m</t>
        </is>
      </c>
      <c r="D64" s="70" t="inlineStr">
        <is>
          <t>Ns = n * (Q/3600)**0.5 / H**0.75</t>
        </is>
      </c>
    </row>
    <row r="65">
      <c r="A65" s="69" t="inlineStr">
        <is>
          <t>Shaft Power</t>
        </is>
      </c>
      <c r="B65" s="69" t="inlineStr">
        <is>
          <t>P_shaft = Q×H×ρ×g / (η_pump×3600)</t>
        </is>
      </c>
      <c r="C65" s="69" t="inlineStr">
        <is>
          <t>Q=m³/h; H=m; ρ=kg/m³; g=9.81</t>
        </is>
      </c>
      <c r="D65" s="69" t="inlineStr">
        <is>
          <t>P = Q*H*rho*9.81/(eta*3600*1000)  # kW</t>
        </is>
      </c>
    </row>
    <row r="66">
      <c r="A66" s="70" t="inlineStr">
        <is>
          <t>Motor kW (rounded)</t>
        </is>
      </c>
      <c r="B66" s="70" t="inlineStr">
        <is>
          <t>P_motor = P_shaft / η_motor × SF</t>
        </is>
      </c>
      <c r="C66" s="70" t="inlineStr">
        <is>
          <t>SF=service factor; round up to IEC standard</t>
        </is>
      </c>
      <c r="D66" s="70" t="inlineStr">
        <is>
          <t>import math; P_motor = math.ceil(P_shaft/eta_mot*SF/next_IEC)*next_IEC</t>
        </is>
      </c>
    </row>
    <row r="67">
      <c r="A67" s="69" t="inlineStr">
        <is>
          <t>Pump Head from pressure</t>
        </is>
      </c>
      <c r="B67" s="69" t="inlineStr">
        <is>
          <t>H = ΔP × 1000 / (ρ × g)</t>
        </is>
      </c>
      <c r="C67" s="69" t="inlineStr">
        <is>
          <t>ΔP in kPa; ρ in kg/m³</t>
        </is>
      </c>
      <c r="D67" s="69" t="inlineStr">
        <is>
          <t>H = dP*1000/(rho*9.81)</t>
        </is>
      </c>
    </row>
    <row r="68">
      <c r="A68" s="70" t="inlineStr">
        <is>
          <t>Column length VTP</t>
        </is>
      </c>
      <c r="B68" s="70" t="inlineStr">
        <is>
          <t>Lc = depth_to_water + 3.0</t>
        </is>
      </c>
      <c r="C68" s="70" t="inlineStr">
        <is>
          <t>Add 3m below minimum water level</t>
        </is>
      </c>
      <c r="D68" s="70" t="inlineStr">
        <is>
          <t>Lc = static_depth + submergence_margin</t>
        </is>
      </c>
    </row>
    <row r="69">
      <c r="A69" s="69" t="inlineStr">
        <is>
          <t>Number of column sections</t>
        </is>
      </c>
      <c r="B69" s="69" t="inlineStr">
        <is>
          <t>Nc = ceil(Lc / 1500)</t>
        </is>
      </c>
      <c r="C69" s="69" t="inlineStr">
        <is>
          <t>1500mm standard section length</t>
        </is>
      </c>
      <c r="D69" s="69" t="inlineStr">
        <is>
          <t>import math; Nc = math.ceil(Lc/1500)</t>
        </is>
      </c>
    </row>
    <row r="70">
      <c r="A70" s="70" t="inlineStr">
        <is>
          <t>Number of stages VTP</t>
        </is>
      </c>
      <c r="B70" s="70" t="inlineStr">
        <is>
          <t>Ns_stages = ceil(H_total / H_per_stage)</t>
        </is>
      </c>
      <c r="C70" s="70" t="inlineStr">
        <is>
          <t>H_per_stage from bowl curve at rated flow</t>
        </is>
      </c>
      <c r="D70" s="70" t="inlineStr">
        <is>
          <t>Ns_stages = math.ceil(H_total / H_per_stage)</t>
        </is>
      </c>
    </row>
  </sheetData>
  <mergeCells count="8">
    <mergeCell ref="A15:L15"/>
    <mergeCell ref="A29:L29"/>
    <mergeCell ref="A42:L42"/>
    <mergeCell ref="A2:N2"/>
    <mergeCell ref="A1:L1"/>
    <mergeCell ref="A61:L61"/>
    <mergeCell ref="A50:L50"/>
    <mergeCell ref="A4:L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64" min="1" max="1"/>
    <col width="25" customWidth="1" style="64" min="2" max="2"/>
    <col width="12" customWidth="1" style="64" min="3" max="3"/>
    <col width="10" customWidth="1" style="64" min="4" max="4"/>
    <col width="12" customWidth="1" style="64" min="5" max="5"/>
    <col width="22" customWidth="1" style="64" min="6" max="6"/>
    <col width="22" customWidth="1" style="64" min="7" max="7"/>
    <col width="18" customWidth="1" style="64" min="8" max="8"/>
    <col width="18" customWidth="1" style="64" min="9" max="9"/>
    <col width="18" customWidth="1" style="64" min="10" max="10"/>
    <col width="18" customWidth="1" style="64" min="11" max="11"/>
    <col width="20" customWidth="1" style="64" min="12" max="12"/>
    <col width="14" customWidth="1" style="64" min="13" max="13"/>
    <col width="16" customWidth="1" style="64" min="14" max="14"/>
    <col width="18" customWidth="1" style="64" min="15" max="15"/>
    <col width="38" customWidth="1" style="64" min="16" max="16"/>
  </cols>
  <sheetData>
    <row r="1" ht="22" customHeight="1" s="64">
      <c r="A1" s="73" t="inlineStr">
        <is>
          <t>MATERIAL COMPATIBILITY MATRIX — FLUID × TEMPERATURE × PRESSURE → MOC SELECTION</t>
        </is>
      </c>
    </row>
    <row r="2">
      <c r="A2" s="66" t="inlineStr">
        <is>
          <t>PURPOSE: Python engine queries this sheet to select correct material for each component. Priority: exact fluid match → fluid category match → default for pump type. Validated against all 12 pumps in Pump_Master_List.</t>
        </is>
      </c>
    </row>
    <row r="4" ht="16" customHeight="1" s="64">
      <c r="A4" s="74" t="inlineStr">
        <is>
          <t>A. MATERIAL SELECTION MATRIX — PRIMARY LOOKUP TABLE</t>
        </is>
      </c>
    </row>
    <row r="5">
      <c r="A5" s="75" t="inlineStr">
        <is>
          <t>Rule_ID</t>
        </is>
      </c>
      <c r="B5" s="75" t="inlineStr">
        <is>
          <t>Fluid_Type</t>
        </is>
      </c>
      <c r="C5" s="75" t="inlineStr">
        <is>
          <t>Fluid_Category</t>
        </is>
      </c>
      <c r="D5" s="75" t="inlineStr">
        <is>
          <t>Temp_Min_C</t>
        </is>
      </c>
      <c r="E5" s="75" t="inlineStr">
        <is>
          <t>Temp_Max_C</t>
        </is>
      </c>
      <c r="F5" s="75" t="inlineStr">
        <is>
          <t>Pressure_Max_kPa</t>
        </is>
      </c>
      <c r="G5" s="75" t="inlineStr">
        <is>
          <t>Casing_MOC</t>
        </is>
      </c>
      <c r="H5" s="75" t="inlineStr">
        <is>
          <t>Impeller_MOC</t>
        </is>
      </c>
      <c r="I5" s="75" t="inlineStr">
        <is>
          <t>Shaft_MOC</t>
        </is>
      </c>
      <c r="J5" s="75" t="inlineStr">
        <is>
          <t>Shaft_Sleeve_MOC</t>
        </is>
      </c>
      <c r="K5" s="75" t="inlineStr">
        <is>
          <t>Wear_Ring_MOC</t>
        </is>
      </c>
      <c r="L5" s="75" t="inlineStr">
        <is>
          <t>Seal_Type</t>
        </is>
      </c>
      <c r="M5" s="75" t="inlineStr">
        <is>
          <t>Seal_Plan</t>
        </is>
      </c>
      <c r="N5" s="75" t="inlineStr">
        <is>
          <t>Fastener_MOC</t>
        </is>
      </c>
      <c r="O5" s="75" t="inlineStr">
        <is>
          <t>Validation_Pump</t>
        </is>
      </c>
      <c r="P5" s="75" t="inlineStr">
        <is>
          <t>Notes</t>
        </is>
      </c>
    </row>
    <row r="6">
      <c r="A6" s="69" t="inlineStr">
        <is>
          <t>MAT-001</t>
        </is>
      </c>
      <c r="B6" s="69" t="inlineStr">
        <is>
          <t>Clear Water</t>
        </is>
      </c>
      <c r="C6" s="69" t="inlineStr">
        <is>
          <t>Clean Water</t>
        </is>
      </c>
      <c r="D6" s="69" t="n">
        <v>0</v>
      </c>
      <c r="E6" s="69" t="n">
        <v>50</v>
      </c>
      <c r="F6" s="69" t="n">
        <v>2000</v>
      </c>
      <c r="G6" s="69" t="inlineStr">
        <is>
          <t>CI IS 210 FG 260</t>
        </is>
      </c>
      <c r="H6" s="69" t="inlineStr">
        <is>
          <t>Bronze LTB5 IS:318</t>
        </is>
      </c>
      <c r="I6" s="69" t="inlineStr">
        <is>
          <t>SS410 ASTM A276</t>
        </is>
      </c>
      <c r="J6" s="69" t="inlineStr">
        <is>
          <t>SS410</t>
        </is>
      </c>
      <c r="K6" s="69" t="inlineStr">
        <is>
          <t>Bronze LTB5</t>
        </is>
      </c>
      <c r="L6" s="69" t="inlineStr">
        <is>
          <t>Gland Packing</t>
        </is>
      </c>
      <c r="M6" s="69" t="inlineStr">
        <is>
          <t>N/A (Gland)</t>
        </is>
      </c>
      <c r="N6" s="69" t="inlineStr">
        <is>
          <t>MS IS:2062</t>
        </is>
      </c>
      <c r="O6" s="69" t="inlineStr">
        <is>
          <t>WILO-001, WILO-002</t>
        </is>
      </c>
      <c r="P6" s="69" t="inlineStr">
        <is>
          <t>Rural water supply; non-API; economic choice; gland packing acceptable</t>
        </is>
      </c>
    </row>
    <row r="7">
      <c r="A7" s="70" t="inlineStr">
        <is>
          <t>MAT-002</t>
        </is>
      </c>
      <c r="B7" s="70" t="inlineStr">
        <is>
          <t>Clear Water</t>
        </is>
      </c>
      <c r="C7" s="70" t="inlineStr">
        <is>
          <t>Clean Water</t>
        </is>
      </c>
      <c r="D7" s="70" t="n">
        <v>0</v>
      </c>
      <c r="E7" s="70" t="n">
        <v>60</v>
      </c>
      <c r="F7" s="70" t="n">
        <v>3000</v>
      </c>
      <c r="G7" s="70" t="inlineStr">
        <is>
          <t>ASTM A216 WCB</t>
        </is>
      </c>
      <c r="H7" s="70" t="inlineStr">
        <is>
          <t>CF8M (SS316)</t>
        </is>
      </c>
      <c r="I7" s="70" t="inlineStr">
        <is>
          <t>EN19 / SS410</t>
        </is>
      </c>
      <c r="J7" s="70" t="inlineStr">
        <is>
          <t>SS410</t>
        </is>
      </c>
      <c r="K7" s="70" t="inlineStr">
        <is>
          <t>A487 CA6M</t>
        </is>
      </c>
      <c r="L7" s="70" t="inlineStr">
        <is>
          <t>Mechanical Seal</t>
        </is>
      </c>
      <c r="M7" s="70" t="inlineStr">
        <is>
          <t>Plan 11</t>
        </is>
      </c>
      <c r="N7" s="70" t="inlineStr">
        <is>
          <t>A193 B7</t>
        </is>
      </c>
      <c r="O7" s="70" t="inlineStr">
        <is>
          <t>FLW-001</t>
        </is>
      </c>
      <c r="P7" s="70" t="inlineStr">
        <is>
          <t>API 610 compliant; higher pressure; industrial service</t>
        </is>
      </c>
    </row>
    <row r="8">
      <c r="A8" s="69" t="inlineStr">
        <is>
          <t>MAT-003</t>
        </is>
      </c>
      <c r="B8" s="69" t="inlineStr">
        <is>
          <t>Clear Water - VTP</t>
        </is>
      </c>
      <c r="C8" s="69" t="inlineStr">
        <is>
          <t>Clean Water</t>
        </is>
      </c>
      <c r="D8" s="69" t="n">
        <v>0</v>
      </c>
      <c r="E8" s="69" t="n">
        <v>40</v>
      </c>
      <c r="F8" s="69" t="n">
        <v>1000</v>
      </c>
      <c r="G8" s="69" t="inlineStr">
        <is>
          <t>CI FG 200 IS:210 (discharge head)</t>
        </is>
      </c>
      <c r="H8" s="69" t="inlineStr">
        <is>
          <t>SS CF8M ASTM A743 (bowl)</t>
        </is>
      </c>
      <c r="I8" s="69" t="inlineStr">
        <is>
          <t>SS410T ASTM A276 (impeller shaft)</t>
        </is>
      </c>
      <c r="J8" s="69" t="inlineStr">
        <is>
          <t>SS410T</t>
        </is>
      </c>
      <c r="K8" s="69" t="inlineStr">
        <is>
          <t>Bronze LTB2</t>
        </is>
      </c>
      <c r="L8" s="69" t="inlineStr">
        <is>
          <t>Gland Packing</t>
        </is>
      </c>
      <c r="M8" s="69" t="inlineStr">
        <is>
          <t>N/A (Gland)</t>
        </is>
      </c>
      <c r="N8" s="69" t="inlineStr">
        <is>
          <t>STD</t>
        </is>
      </c>
      <c r="O8" s="69" t="inlineStr">
        <is>
          <t>JYOTI-001, JYOTI-002</t>
        </is>
      </c>
      <c r="P8" s="69" t="inlineStr">
        <is>
          <t>Vertical turbine pump for water supply; IS standard materials</t>
        </is>
      </c>
    </row>
    <row r="9">
      <c r="A9" s="70" t="inlineStr">
        <is>
          <t>MAT-004</t>
        </is>
      </c>
      <c r="B9" s="70" t="inlineStr">
        <is>
          <t>Live Steam Condensate</t>
        </is>
      </c>
      <c r="C9" s="70" t="inlineStr">
        <is>
          <t>Hot Condensate</t>
        </is>
      </c>
      <c r="D9" s="70" t="n">
        <v>100</v>
      </c>
      <c r="E9" s="70" t="n">
        <v>160</v>
      </c>
      <c r="F9" s="70" t="n">
        <v>2000</v>
      </c>
      <c r="G9" s="70" t="inlineStr">
        <is>
          <t>SS304 (all wetted)</t>
        </is>
      </c>
      <c r="H9" s="70" t="inlineStr">
        <is>
          <t>SS304</t>
        </is>
      </c>
      <c r="I9" s="70" t="inlineStr">
        <is>
          <t>SS304</t>
        </is>
      </c>
      <c r="J9" s="70" t="inlineStr">
        <is>
          <t>SS316</t>
        </is>
      </c>
      <c r="K9" s="70" t="inlineStr">
        <is>
          <t>SS304</t>
        </is>
      </c>
      <c r="L9" s="70" t="inlineStr">
        <is>
          <t>Mechanical Seal</t>
        </is>
      </c>
      <c r="M9" s="70" t="inlineStr">
        <is>
          <t>Plan 13+61</t>
        </is>
      </c>
      <c r="N9" s="70" t="inlineStr">
        <is>
          <t>SS316</t>
        </is>
      </c>
      <c r="O9" s="70" t="inlineStr">
        <is>
          <t>KSB-003</t>
        </is>
      </c>
      <c r="P9" s="70" t="inlineStr">
        <is>
          <t>High temp condensate near saturation; all SS304 wetted parts; Plan 13 prevents vapour lock</t>
        </is>
      </c>
    </row>
    <row r="10">
      <c r="A10" s="69" t="inlineStr">
        <is>
          <t>MAT-005</t>
        </is>
      </c>
      <c r="B10" s="69" t="inlineStr">
        <is>
          <t>Process Condensate</t>
        </is>
      </c>
      <c r="C10" s="69" t="inlineStr">
        <is>
          <t>Condensate</t>
        </is>
      </c>
      <c r="D10" s="69" t="n">
        <v>20</v>
      </c>
      <c r="E10" s="69" t="n">
        <v>80</v>
      </c>
      <c r="F10" s="69" t="n">
        <v>1000</v>
      </c>
      <c r="G10" s="69" t="inlineStr">
        <is>
          <t>ASTM A216 WCB</t>
        </is>
      </c>
      <c r="H10" s="69" t="inlineStr">
        <is>
          <t>SS 2324 (Lean Duplex)</t>
        </is>
      </c>
      <c r="I10" s="69" t="inlineStr">
        <is>
          <t>VTA</t>
        </is>
      </c>
      <c r="J10" s="69" t="inlineStr">
        <is>
          <t>VTA</t>
        </is>
      </c>
      <c r="K10" s="69" t="inlineStr">
        <is>
          <t>VTA</t>
        </is>
      </c>
      <c r="L10" s="69" t="inlineStr">
        <is>
          <t>Mechanical Seal</t>
        </is>
      </c>
      <c r="M10" s="69" t="inlineStr">
        <is>
          <t>Plan 11 or 13</t>
        </is>
      </c>
      <c r="N10" s="69" t="inlineStr">
        <is>
          <t>A193 B7</t>
        </is>
      </c>
      <c r="O10" s="69" t="inlineStr">
        <is>
          <t>KSB-005</t>
        </is>
      </c>
      <c r="P10" s="69" t="inlineStr">
        <is>
          <t>Lower temp condensate; CS casing acceptable; SS 2324 impeller for corrosion resistance</t>
        </is>
      </c>
    </row>
    <row r="11">
      <c r="A11" s="70" t="inlineStr">
        <is>
          <t>MAT-006</t>
        </is>
      </c>
      <c r="B11" s="70" t="inlineStr">
        <is>
          <t>Boiler Feed Water</t>
        </is>
      </c>
      <c r="C11" s="70" t="inlineStr">
        <is>
          <t>Hot Water/BFW</t>
        </is>
      </c>
      <c r="D11" s="70" t="n">
        <v>80</v>
      </c>
      <c r="E11" s="70" t="n">
        <v>200</v>
      </c>
      <c r="F11" s="70" t="n">
        <v>15000</v>
      </c>
      <c r="G11" s="70" t="inlineStr">
        <is>
          <t>ASTM A216 WCB / A217 WC6</t>
        </is>
      </c>
      <c r="H11" s="70" t="inlineStr">
        <is>
          <t>SS316 / 12Cr Steel</t>
        </is>
      </c>
      <c r="I11" s="70" t="inlineStr">
        <is>
          <t>17-4PH / A182 F6</t>
        </is>
      </c>
      <c r="J11" s="70" t="inlineStr">
        <is>
          <t>SS316</t>
        </is>
      </c>
      <c r="K11" s="70" t="inlineStr">
        <is>
          <t>12Cr Steel</t>
        </is>
      </c>
      <c r="L11" s="70" t="inlineStr">
        <is>
          <t>Mechanical Seal</t>
        </is>
      </c>
      <c r="M11" s="70" t="inlineStr">
        <is>
          <t>Plan 32</t>
        </is>
      </c>
      <c r="N11" s="70" t="inlineStr">
        <is>
          <t>A193 B7</t>
        </is>
      </c>
      <c r="O11" s="70" t="inlineStr">
        <is>
          <t>—</t>
        </is>
      </c>
      <c r="P11" s="70" t="inlineStr">
        <is>
          <t>High pressure BFW; escalate to higher alloys above 150°C</t>
        </is>
      </c>
    </row>
    <row r="12">
      <c r="A12" s="69" t="inlineStr">
        <is>
          <t>MAT-007</t>
        </is>
      </c>
      <c r="B12" s="69" t="inlineStr">
        <is>
          <t>Caustic Liquor (Alumina)</t>
        </is>
      </c>
      <c r="C12" s="69" t="inlineStr">
        <is>
          <t>Alkali/Caustic</t>
        </is>
      </c>
      <c r="D12" s="69" t="n">
        <v>60</v>
      </c>
      <c r="E12" s="69" t="n">
        <v>110</v>
      </c>
      <c r="F12" s="69" t="n">
        <v>1500</v>
      </c>
      <c r="G12" s="69" t="inlineStr">
        <is>
          <t>ASTM A216 WCB</t>
        </is>
      </c>
      <c r="H12" s="69" t="inlineStr">
        <is>
          <t>SS316L</t>
        </is>
      </c>
      <c r="I12" s="69" t="inlineStr">
        <is>
          <t>SS316</t>
        </is>
      </c>
      <c r="J12" s="69" t="inlineStr">
        <is>
          <t>SS316</t>
        </is>
      </c>
      <c r="K12" s="69" t="inlineStr">
        <is>
          <t>SS316</t>
        </is>
      </c>
      <c r="L12" s="69" t="inlineStr">
        <is>
          <t>Mechanical Seal</t>
        </is>
      </c>
      <c r="M12" s="69" t="inlineStr">
        <is>
          <t>Plan 62 (SLD)</t>
        </is>
      </c>
      <c r="N12" s="69" t="inlineStr">
        <is>
          <t>SS316</t>
        </is>
      </c>
      <c r="O12" s="69" t="inlineStr">
        <is>
          <t>METSO-001 (Feed Liquor)</t>
        </is>
      </c>
      <c r="P12" s="69" t="inlineStr">
        <is>
          <t>Bayer process liquor; caustic aluminate solution; SS316 resistant to NaOH at temp</t>
        </is>
      </c>
    </row>
    <row r="13">
      <c r="A13" s="70" t="inlineStr">
        <is>
          <t>MAT-008</t>
        </is>
      </c>
      <c r="B13" s="70" t="inlineStr">
        <is>
          <t>Caustic Soda (dilute &lt;10%)</t>
        </is>
      </c>
      <c r="C13" s="70" t="inlineStr">
        <is>
          <t>Alkali/Caustic</t>
        </is>
      </c>
      <c r="D13" s="70" t="n">
        <v>20</v>
      </c>
      <c r="E13" s="70" t="n">
        <v>80</v>
      </c>
      <c r="F13" s="70" t="n">
        <v>1000</v>
      </c>
      <c r="G13" s="70" t="inlineStr">
        <is>
          <t>ASTM A216 WCB</t>
        </is>
      </c>
      <c r="H13" s="70" t="inlineStr">
        <is>
          <t>CF8M (SS316)</t>
        </is>
      </c>
      <c r="I13" s="70" t="inlineStr">
        <is>
          <t>SS410 / SS316</t>
        </is>
      </c>
      <c r="J13" s="70" t="inlineStr">
        <is>
          <t>SS316</t>
        </is>
      </c>
      <c r="K13" s="70" t="inlineStr">
        <is>
          <t>CF8M</t>
        </is>
      </c>
      <c r="L13" s="70" t="inlineStr">
        <is>
          <t>Mechanical Seal</t>
        </is>
      </c>
      <c r="M13" s="70" t="inlineStr">
        <is>
          <t>Plan 11</t>
        </is>
      </c>
      <c r="N13" s="70" t="inlineStr">
        <is>
          <t>A193 B7</t>
        </is>
      </c>
      <c r="O13" s="70" t="inlineStr">
        <is>
          <t>—</t>
        </is>
      </c>
      <c r="P13" s="70" t="inlineStr">
        <is>
          <t>Dilute NaOH; standard stainless alloys acceptable</t>
        </is>
      </c>
    </row>
    <row r="14">
      <c r="A14" s="69" t="inlineStr">
        <is>
          <t>MAT-009</t>
        </is>
      </c>
      <c r="B14" s="69" t="inlineStr">
        <is>
          <t>Caustic Soda (conc &gt;10%)</t>
        </is>
      </c>
      <c r="C14" s="69" t="inlineStr">
        <is>
          <t>Alkali/Caustic</t>
        </is>
      </c>
      <c r="D14" s="69" t="n">
        <v>20</v>
      </c>
      <c r="E14" s="69" t="n">
        <v>60</v>
      </c>
      <c r="F14" s="69" t="n">
        <v>500</v>
      </c>
      <c r="G14" s="69" t="inlineStr">
        <is>
          <t>Rubber-lined CS</t>
        </is>
      </c>
      <c r="H14" s="69" t="inlineStr">
        <is>
          <t>SS316L</t>
        </is>
      </c>
      <c r="I14" s="69" t="inlineStr">
        <is>
          <t>SS316</t>
        </is>
      </c>
      <c r="J14" s="69" t="inlineStr">
        <is>
          <t>SS316</t>
        </is>
      </c>
      <c r="K14" s="69" t="inlineStr">
        <is>
          <t>SS316L</t>
        </is>
      </c>
      <c r="L14" s="69" t="inlineStr">
        <is>
          <t>Mechanical Seal (PTFE face)</t>
        </is>
      </c>
      <c r="M14" s="69" t="inlineStr">
        <is>
          <t>Plan 62</t>
        </is>
      </c>
      <c r="N14" s="69" t="inlineStr">
        <is>
          <t>SS316</t>
        </is>
      </c>
      <c r="O14" s="69" t="inlineStr">
        <is>
          <t>—</t>
        </is>
      </c>
      <c r="P14" s="69" t="inlineStr">
        <is>
          <t>High concentration NaOH requires rubber lining or Hastelloy C</t>
        </is>
      </c>
    </row>
    <row r="15">
      <c r="A15" s="70" t="inlineStr">
        <is>
          <t>MAT-010</t>
        </is>
      </c>
      <c r="B15" s="70" t="inlineStr">
        <is>
          <t>Dilute Sulphuric Acid (&lt;30%)</t>
        </is>
      </c>
      <c r="C15" s="70" t="inlineStr">
        <is>
          <t>Dilute Acid</t>
        </is>
      </c>
      <c r="D15" s="70" t="n">
        <v>15</v>
      </c>
      <c r="E15" s="70" t="n">
        <v>60</v>
      </c>
      <c r="F15" s="70" t="n">
        <v>500</v>
      </c>
      <c r="G15" s="70" t="inlineStr">
        <is>
          <t>Alloy 20 / Hastelloy C / FRP</t>
        </is>
      </c>
      <c r="H15" s="70" t="inlineStr">
        <is>
          <t>Alloy 20 / Hastelloy C</t>
        </is>
      </c>
      <c r="I15" s="70" t="inlineStr">
        <is>
          <t>Hastelloy C / SS316L</t>
        </is>
      </c>
      <c r="J15" s="70" t="inlineStr">
        <is>
          <t>SS316L / Hastelloy C</t>
        </is>
      </c>
      <c r="K15" s="70" t="inlineStr">
        <is>
          <t>Hastelloy C</t>
        </is>
      </c>
      <c r="L15" s="70" t="inlineStr">
        <is>
          <t>Mechanical Seal (SiC faces)</t>
        </is>
      </c>
      <c r="M15" s="70" t="inlineStr">
        <is>
          <t>Plan 62</t>
        </is>
      </c>
      <c r="N15" s="70" t="inlineStr">
        <is>
          <t>Alloy 20 bolts</t>
        </is>
      </c>
      <c r="O15" s="70" t="inlineStr">
        <is>
          <t>KSB-004 (Dilute H2SO4 Sump)</t>
        </is>
      </c>
      <c r="P15" s="70" t="inlineStr">
        <is>
          <t>H2SO4 highly corrosive; Hastelloy C276 preferred; SS316 only for very dilute</t>
        </is>
      </c>
    </row>
    <row r="16">
      <c r="A16" s="69" t="inlineStr">
        <is>
          <t>MAT-011</t>
        </is>
      </c>
      <c r="B16" s="69" t="inlineStr">
        <is>
          <t>Hydrochloric Acid (&lt;20%)</t>
        </is>
      </c>
      <c r="C16" s="69" t="inlineStr">
        <is>
          <t>Dilute Acid</t>
        </is>
      </c>
      <c r="D16" s="69" t="n">
        <v>15</v>
      </c>
      <c r="E16" s="69" t="n">
        <v>50</v>
      </c>
      <c r="F16" s="69" t="n">
        <v>300</v>
      </c>
      <c r="G16" s="69" t="inlineStr">
        <is>
          <t>Rubber-lined CS / FRP</t>
        </is>
      </c>
      <c r="H16" s="69" t="inlineStr">
        <is>
          <t>Hastelloy C276</t>
        </is>
      </c>
      <c r="I16" s="69" t="inlineStr">
        <is>
          <t>Hastelloy C276</t>
        </is>
      </c>
      <c r="J16" s="69" t="inlineStr">
        <is>
          <t>Hastelloy C276</t>
        </is>
      </c>
      <c r="K16" s="69" t="inlineStr">
        <is>
          <t>Hastelloy C276</t>
        </is>
      </c>
      <c r="L16" s="69" t="inlineStr">
        <is>
          <t>Mechanical Seal (PTFE)</t>
        </is>
      </c>
      <c r="M16" s="69" t="inlineStr">
        <is>
          <t>Plan 62</t>
        </is>
      </c>
      <c r="N16" s="69" t="inlineStr">
        <is>
          <t>Hastelloy bolts</t>
        </is>
      </c>
      <c r="O16" s="69" t="inlineStr">
        <is>
          <t>—</t>
        </is>
      </c>
      <c r="P16" s="69" t="inlineStr">
        <is>
          <t>HCl attacks all stainless; Hastelloy or rubber lining required</t>
        </is>
      </c>
    </row>
    <row r="17">
      <c r="A17" s="70" t="inlineStr">
        <is>
          <t>MAT-012</t>
        </is>
      </c>
      <c r="B17" s="70" t="inlineStr">
        <is>
          <t>Phosphoric Acid (&lt;50%)</t>
        </is>
      </c>
      <c r="C17" s="70" t="inlineStr">
        <is>
          <t>Process Acid</t>
        </is>
      </c>
      <c r="D17" s="70" t="n">
        <v>15</v>
      </c>
      <c r="E17" s="70" t="n">
        <v>80</v>
      </c>
      <c r="F17" s="70" t="n">
        <v>500</v>
      </c>
      <c r="G17" s="70" t="inlineStr">
        <is>
          <t>SS316L</t>
        </is>
      </c>
      <c r="H17" s="70" t="inlineStr">
        <is>
          <t>SS316L</t>
        </is>
      </c>
      <c r="I17" s="70" t="inlineStr">
        <is>
          <t>SS316L</t>
        </is>
      </c>
      <c r="J17" s="70" t="inlineStr">
        <is>
          <t>SS316L</t>
        </is>
      </c>
      <c r="K17" s="70" t="inlineStr">
        <is>
          <t>SS316L</t>
        </is>
      </c>
      <c r="L17" s="70" t="inlineStr">
        <is>
          <t>Mechanical Seal</t>
        </is>
      </c>
      <c r="M17" s="70" t="inlineStr">
        <is>
          <t>Plan 62</t>
        </is>
      </c>
      <c r="N17" s="70" t="inlineStr">
        <is>
          <t>SS316L</t>
        </is>
      </c>
      <c r="O17" s="70" t="inlineStr">
        <is>
          <t>—</t>
        </is>
      </c>
      <c r="P17" s="70" t="inlineStr">
        <is>
          <t>H3PO4; SS316L generally acceptable; check chloride content</t>
        </is>
      </c>
    </row>
    <row r="18">
      <c r="A18" s="69" t="inlineStr">
        <is>
          <t>MAT-013</t>
        </is>
      </c>
      <c r="B18" s="69" t="inlineStr">
        <is>
          <t>Slurry - Abrasive (Alumina/Sand)</t>
        </is>
      </c>
      <c r="C18" s="69" t="inlineStr">
        <is>
          <t>Abrasive Slurry</t>
        </is>
      </c>
      <c r="D18" s="69" t="n">
        <v>20</v>
      </c>
      <c r="E18" s="69" t="n">
        <v>100</v>
      </c>
      <c r="F18" s="69" t="n">
        <v>1000</v>
      </c>
      <c r="G18" s="69" t="inlineStr">
        <is>
          <t>ASTM A532 IIIA (GPS800 Hi-Chrome)</t>
        </is>
      </c>
      <c r="H18" s="69" t="inlineStr">
        <is>
          <t>ASTM A532 IIIA (GPS800)</t>
        </is>
      </c>
      <c r="I18" s="69" t="inlineStr">
        <is>
          <t>EN24 Alloy Steel BS970</t>
        </is>
      </c>
      <c r="J18" s="69" t="inlineStr">
        <is>
          <t>SS316 (1.4436)</t>
        </is>
      </c>
      <c r="K18" s="69" t="inlineStr">
        <is>
          <t>N/A (no wear ring in slurry pump)</t>
        </is>
      </c>
      <c r="L18" s="69" t="inlineStr">
        <is>
          <t>Mech Seal + SLD</t>
        </is>
      </c>
      <c r="M18" s="69" t="inlineStr">
        <is>
          <t>Plan 62 + SLD</t>
        </is>
      </c>
      <c r="N18" s="69" t="inlineStr">
        <is>
          <t>Steel TZN coated</t>
        </is>
      </c>
      <c r="O18" s="69" t="inlineStr">
        <is>
          <t>METSO-001</t>
        </is>
      </c>
      <c r="P18" s="69" t="inlineStr">
        <is>
          <t>High chrome white iron mandatory; min hardness 650 BHN; V-belt drive preferred to reduce vibration</t>
        </is>
      </c>
    </row>
    <row r="19">
      <c r="A19" s="70" t="inlineStr">
        <is>
          <t>MAT-014</t>
        </is>
      </c>
      <c r="B19" s="70" t="inlineStr">
        <is>
          <t>Slurry - Fine Particles (&lt;1mm)</t>
        </is>
      </c>
      <c r="C19" s="70" t="inlineStr">
        <is>
          <t>Abrasive Slurry</t>
        </is>
      </c>
      <c r="D19" s="70" t="n">
        <v>20</v>
      </c>
      <c r="E19" s="70" t="n">
        <v>80</v>
      </c>
      <c r="F19" s="70" t="n">
        <v>500</v>
      </c>
      <c r="G19" s="70" t="inlineStr">
        <is>
          <t>A532 IIIA or A05 Ni-Hard</t>
        </is>
      </c>
      <c r="H19" s="70" t="inlineStr">
        <is>
          <t>A532 IIIA or SS316</t>
        </is>
      </c>
      <c r="I19" s="70" t="inlineStr">
        <is>
          <t>EN24</t>
        </is>
      </c>
      <c r="J19" s="70" t="inlineStr">
        <is>
          <t>SS316</t>
        </is>
      </c>
      <c r="K19" s="70" t="inlineStr">
        <is>
          <t>N/A</t>
        </is>
      </c>
      <c r="L19" s="70" t="inlineStr">
        <is>
          <t>Mechanical Seal</t>
        </is>
      </c>
      <c r="M19" s="70" t="inlineStr">
        <is>
          <t>Plan 62</t>
        </is>
      </c>
      <c r="N19" s="70" t="inlineStr">
        <is>
          <t>Steel</t>
        </is>
      </c>
      <c r="O19" s="70" t="inlineStr">
        <is>
          <t>—</t>
        </is>
      </c>
      <c r="P19" s="70" t="inlineStr">
        <is>
          <t>Fine slurry; chrome iron casing; check max sphere passage &gt; particle size × 3</t>
        </is>
      </c>
    </row>
    <row r="20">
      <c r="A20" s="69" t="inlineStr">
        <is>
          <t>MAT-015</t>
        </is>
      </c>
      <c r="B20" s="69" t="inlineStr">
        <is>
          <t>Slurry - Coarse Particles (&gt;10mm)</t>
        </is>
      </c>
      <c r="C20" s="69" t="inlineStr">
        <is>
          <t>Coarse Slurry</t>
        </is>
      </c>
      <c r="D20" s="69" t="n">
        <v>20</v>
      </c>
      <c r="E20" s="69" t="n">
        <v>60</v>
      </c>
      <c r="F20" s="69" t="n">
        <v>300</v>
      </c>
      <c r="G20" s="69" t="inlineStr">
        <is>
          <t>A532 IIIA (max thickness &gt;30mm)</t>
        </is>
      </c>
      <c r="H20" s="69" t="inlineStr">
        <is>
          <t>A532 IIIA</t>
        </is>
      </c>
      <c r="I20" s="69" t="inlineStr">
        <is>
          <t>EN24</t>
        </is>
      </c>
      <c r="J20" s="69" t="inlineStr">
        <is>
          <t>SS316</t>
        </is>
      </c>
      <c r="K20" s="69" t="inlineStr">
        <is>
          <t>N/A</t>
        </is>
      </c>
      <c r="L20" s="69" t="inlineStr">
        <is>
          <t>Gland Packing (slurry)</t>
        </is>
      </c>
      <c r="M20" s="69" t="inlineStr">
        <is>
          <t>N/A</t>
        </is>
      </c>
      <c r="N20" s="69" t="inlineStr">
        <is>
          <t>Steel</t>
        </is>
      </c>
      <c r="O20" s="69" t="inlineStr">
        <is>
          <t>—</t>
        </is>
      </c>
      <c r="P20" s="69" t="inlineStr">
        <is>
          <t>Very coarse slurry; thick chrome iron; low speed; open impeller preferred</t>
        </is>
      </c>
    </row>
    <row r="21">
      <c r="A21" s="70" t="inlineStr">
        <is>
          <t>MAT-016</t>
        </is>
      </c>
      <c r="B21" s="70" t="inlineStr">
        <is>
          <t>Crude Oil (&lt;200°C)</t>
        </is>
      </c>
      <c r="C21" s="70" t="inlineStr">
        <is>
          <t>Hydrocarbon</t>
        </is>
      </c>
      <c r="D21" s="70" t="n">
        <v>20</v>
      </c>
      <c r="E21" s="70" t="n">
        <v>200</v>
      </c>
      <c r="F21" s="70" t="n">
        <v>3000</v>
      </c>
      <c r="G21" s="70" t="inlineStr">
        <is>
          <t>ASTM A216 WCB</t>
        </is>
      </c>
      <c r="H21" s="70" t="inlineStr">
        <is>
          <t>ASTM A487 Gr CA6M (12Cr)</t>
        </is>
      </c>
      <c r="I21" s="70" t="inlineStr">
        <is>
          <t>EN19 / SS410</t>
        </is>
      </c>
      <c r="J21" s="70" t="inlineStr">
        <is>
          <t>SS410</t>
        </is>
      </c>
      <c r="K21" s="70" t="inlineStr">
        <is>
          <t>CA6M</t>
        </is>
      </c>
      <c r="L21" s="70" t="inlineStr">
        <is>
          <t>Mechanical Seal</t>
        </is>
      </c>
      <c r="M21" s="70" t="inlineStr">
        <is>
          <t>Plan 11</t>
        </is>
      </c>
      <c r="N21" s="70" t="inlineStr">
        <is>
          <t>A193 B7</t>
        </is>
      </c>
      <c r="O21" s="70" t="inlineStr">
        <is>
          <t>—</t>
        </is>
      </c>
      <c r="P21" s="70" t="inlineStr">
        <is>
          <t>Per synopsis example: CS casing + 12Cr impeller; standard for crude oil</t>
        </is>
      </c>
    </row>
    <row r="22">
      <c r="A22" s="69" t="inlineStr">
        <is>
          <t>MAT-017</t>
        </is>
      </c>
      <c r="B22" s="69" t="inlineStr">
        <is>
          <t>Light Hydrocarbons (LPG/Naphtha)</t>
        </is>
      </c>
      <c r="C22" s="69" t="inlineStr">
        <is>
          <t>Hydrocarbon</t>
        </is>
      </c>
      <c r="D22" s="69" t="n">
        <v>20</v>
      </c>
      <c r="E22" s="69" t="n">
        <v>100</v>
      </c>
      <c r="F22" s="69" t="n">
        <v>5000</v>
      </c>
      <c r="G22" s="69" t="inlineStr">
        <is>
          <t>ASTM A216 WCB</t>
        </is>
      </c>
      <c r="H22" s="69" t="inlineStr">
        <is>
          <t>SS316</t>
        </is>
      </c>
      <c r="I22" s="69" t="inlineStr">
        <is>
          <t>SS410</t>
        </is>
      </c>
      <c r="J22" s="69" t="inlineStr">
        <is>
          <t>SS316</t>
        </is>
      </c>
      <c r="K22" s="69" t="inlineStr">
        <is>
          <t>SS316</t>
        </is>
      </c>
      <c r="L22" s="69" t="inlineStr">
        <is>
          <t>Mechanical Seal (double)</t>
        </is>
      </c>
      <c r="M22" s="69" t="inlineStr">
        <is>
          <t>Plan 53A/53B</t>
        </is>
      </c>
      <c r="N22" s="69" t="inlineStr">
        <is>
          <t>A193 B7</t>
        </is>
      </c>
      <c r="O22" s="69" t="inlineStr">
        <is>
          <t>—</t>
        </is>
      </c>
      <c r="P22" s="69" t="inlineStr">
        <is>
          <t>Volatile; pressurized seal required; API 682 Type 2 or 3</t>
        </is>
      </c>
    </row>
    <row r="23">
      <c r="A23" s="70" t="inlineStr">
        <is>
          <t>MAT-018</t>
        </is>
      </c>
      <c r="B23" s="70" t="inlineStr">
        <is>
          <t>Seawater / Brine</t>
        </is>
      </c>
      <c r="C23" s="70" t="inlineStr">
        <is>
          <t>Seawater</t>
        </is>
      </c>
      <c r="D23" s="70" t="n">
        <v>5</v>
      </c>
      <c r="E23" s="70" t="n">
        <v>40</v>
      </c>
      <c r="F23" s="70" t="n">
        <v>2000</v>
      </c>
      <c r="G23" s="70" t="inlineStr">
        <is>
          <t>Super Duplex 2507</t>
        </is>
      </c>
      <c r="H23" s="70" t="inlineStr">
        <is>
          <t>Super Duplex 2507</t>
        </is>
      </c>
      <c r="I23" s="70" t="inlineStr">
        <is>
          <t>Super Duplex 2507</t>
        </is>
      </c>
      <c r="J23" s="70" t="inlineStr">
        <is>
          <t>Super Duplex 2507</t>
        </is>
      </c>
      <c r="K23" s="70" t="inlineStr">
        <is>
          <t>Super Duplex 2507</t>
        </is>
      </c>
      <c r="L23" s="70" t="inlineStr">
        <is>
          <t>Mechanical Seal</t>
        </is>
      </c>
      <c r="M23" s="70" t="inlineStr">
        <is>
          <t>Plan 11</t>
        </is>
      </c>
      <c r="N23" s="70" t="inlineStr">
        <is>
          <t>Duplex bolts</t>
        </is>
      </c>
      <c r="O23" s="70" t="inlineStr">
        <is>
          <t>—</t>
        </is>
      </c>
      <c r="P23" s="70" t="inlineStr">
        <is>
          <t>Per synopsis example: seawater requires super duplex; PREN &gt; 40</t>
        </is>
      </c>
    </row>
    <row r="24">
      <c r="A24" s="69" t="inlineStr">
        <is>
          <t>MAT-019</t>
        </is>
      </c>
      <c r="B24" s="69" t="inlineStr">
        <is>
          <t>Cooling Water (treated)</t>
        </is>
      </c>
      <c r="C24" s="69" t="inlineStr">
        <is>
          <t>Cooling Water</t>
        </is>
      </c>
      <c r="D24" s="69" t="n">
        <v>15</v>
      </c>
      <c r="E24" s="69" t="n">
        <v>45</v>
      </c>
      <c r="F24" s="69" t="n">
        <v>1000</v>
      </c>
      <c r="G24" s="69" t="inlineStr">
        <is>
          <t>CI IS 210 FG 260 / WCB</t>
        </is>
      </c>
      <c r="H24" s="69" t="inlineStr">
        <is>
          <t>Bronze / CF8M</t>
        </is>
      </c>
      <c r="I24" s="69" t="inlineStr">
        <is>
          <t>SS410</t>
        </is>
      </c>
      <c r="J24" s="69" t="inlineStr">
        <is>
          <t>SS410</t>
        </is>
      </c>
      <c r="K24" s="69" t="inlineStr">
        <is>
          <t>Bronze LTB5</t>
        </is>
      </c>
      <c r="L24" s="69" t="inlineStr">
        <is>
          <t>Mechanical Seal</t>
        </is>
      </c>
      <c r="M24" s="69" t="inlineStr">
        <is>
          <t>Plan 11</t>
        </is>
      </c>
      <c r="N24" s="69" t="inlineStr">
        <is>
          <t>MS IS:2062</t>
        </is>
      </c>
      <c r="O24" s="69" t="inlineStr">
        <is>
          <t>—</t>
        </is>
      </c>
      <c r="P24" s="69" t="inlineStr">
        <is>
          <t>Treated cooling tower water; standard materials acceptable</t>
        </is>
      </c>
    </row>
    <row r="25">
      <c r="A25" s="70" t="inlineStr">
        <is>
          <t>MAT-020</t>
        </is>
      </c>
      <c r="B25" s="70" t="inlineStr">
        <is>
          <t>High Temp Water (&gt;120°C)</t>
        </is>
      </c>
      <c r="C25" s="70" t="inlineStr">
        <is>
          <t>High Temp</t>
        </is>
      </c>
      <c r="D25" s="70" t="n">
        <v>120</v>
      </c>
      <c r="E25" s="70" t="n">
        <v>200</v>
      </c>
      <c r="F25" s="70" t="n">
        <v>5000</v>
      </c>
      <c r="G25" s="70" t="inlineStr">
        <is>
          <t>ASTM A217 WC6 / WC9</t>
        </is>
      </c>
      <c r="H25" s="70" t="inlineStr">
        <is>
          <t>12Cr Steel / SS316</t>
        </is>
      </c>
      <c r="I25" s="70" t="inlineStr">
        <is>
          <t>12Cr Steel</t>
        </is>
      </c>
      <c r="J25" s="70" t="inlineStr">
        <is>
          <t>SS316</t>
        </is>
      </c>
      <c r="K25" s="70" t="inlineStr">
        <is>
          <t>12Cr Steel</t>
        </is>
      </c>
      <c r="L25" s="70" t="inlineStr">
        <is>
          <t>Mechanical Seal (high temp)</t>
        </is>
      </c>
      <c r="M25" s="70" t="inlineStr">
        <is>
          <t>Plan 11 + cooling</t>
        </is>
      </c>
      <c r="N25" s="70" t="inlineStr">
        <is>
          <t>A193 B16</t>
        </is>
      </c>
      <c r="O25" s="70" t="inlineStr">
        <is>
          <t>—</t>
        </is>
      </c>
      <c r="P25" s="70" t="inlineStr">
        <is>
          <t>Thermal cycling risk; consider expansion; Plan 11 with cooler</t>
        </is>
      </c>
    </row>
    <row r="26">
      <c r="A26" s="69" t="inlineStr">
        <is>
          <t>MAT-021</t>
        </is>
      </c>
      <c r="B26" s="69" t="inlineStr">
        <is>
          <t>Superheated Condensate (&gt;180°C)</t>
        </is>
      </c>
      <c r="C26" s="69" t="inlineStr">
        <is>
          <t>High Temp Condensate</t>
        </is>
      </c>
      <c r="D26" s="69" t="n">
        <v>180</v>
      </c>
      <c r="E26" s="69" t="n">
        <v>240</v>
      </c>
      <c r="F26" s="69" t="n">
        <v>10000</v>
      </c>
      <c r="G26" s="69" t="inlineStr">
        <is>
          <t>ASTM A217 WC6</t>
        </is>
      </c>
      <c r="H26" s="69" t="inlineStr">
        <is>
          <t>SS316 / 12Cr</t>
        </is>
      </c>
      <c r="I26" s="69" t="inlineStr">
        <is>
          <t>12Cr / 17-4PH</t>
        </is>
      </c>
      <c r="J26" s="69" t="inlineStr">
        <is>
          <t>SS316</t>
        </is>
      </c>
      <c r="K26" s="69" t="inlineStr">
        <is>
          <t>12Cr</t>
        </is>
      </c>
      <c r="L26" s="69" t="inlineStr">
        <is>
          <t>Mechanical Seal (bellows)</t>
        </is>
      </c>
      <c r="M26" s="69" t="inlineStr">
        <is>
          <t>Plan 52/53</t>
        </is>
      </c>
      <c r="N26" s="69" t="inlineStr">
        <is>
          <t>A193 B16</t>
        </is>
      </c>
      <c r="O26" s="69" t="inlineStr">
        <is>
          <t>—</t>
        </is>
      </c>
      <c r="P26" s="69" t="inlineStr">
        <is>
          <t>Boiler feed pump range; high alloy throughout; special sealing</t>
        </is>
      </c>
    </row>
    <row r="27">
      <c r="A27" s="70" t="inlineStr">
        <is>
          <t>MAT-DEFAULT-WATER</t>
        </is>
      </c>
      <c r="B27" s="70" t="inlineStr">
        <is>
          <t>Any Water Service (fallback)</t>
        </is>
      </c>
      <c r="C27" s="70" t="inlineStr">
        <is>
          <t>Water</t>
        </is>
      </c>
      <c r="D27" s="70" t="n">
        <v>0</v>
      </c>
      <c r="E27" s="70" t="n">
        <v>80</v>
      </c>
      <c r="F27" s="70" t="n">
        <v>2000</v>
      </c>
      <c r="G27" s="70" t="inlineStr">
        <is>
          <t>ASTM A216 WCB</t>
        </is>
      </c>
      <c r="H27" s="70" t="inlineStr">
        <is>
          <t>CF8M (SS316)</t>
        </is>
      </c>
      <c r="I27" s="70" t="inlineStr">
        <is>
          <t>EN19 / SS410</t>
        </is>
      </c>
      <c r="J27" s="70" t="inlineStr">
        <is>
          <t>SS410</t>
        </is>
      </c>
      <c r="K27" s="70" t="inlineStr">
        <is>
          <t>A487 CA6M</t>
        </is>
      </c>
      <c r="L27" s="70" t="inlineStr">
        <is>
          <t>Mechanical Seal</t>
        </is>
      </c>
      <c r="M27" s="70" t="inlineStr">
        <is>
          <t>Plan 11</t>
        </is>
      </c>
      <c r="N27" s="70" t="inlineStr">
        <is>
          <t>A193 B7</t>
        </is>
      </c>
      <c r="O27" s="70" t="inlineStr">
        <is>
          <t>—</t>
        </is>
      </c>
      <c r="P27" s="70" t="inlineStr">
        <is>
          <t>DEFAULT: Use if no specific fluid match found; clean/near-clean water</t>
        </is>
      </c>
    </row>
    <row r="28">
      <c r="A28" s="69" t="inlineStr">
        <is>
          <t>MAT-DEFAULT-PROCESS</t>
        </is>
      </c>
      <c r="B28" s="69" t="inlineStr">
        <is>
          <t>Any Process Fluid (fallback)</t>
        </is>
      </c>
      <c r="C28" s="69" t="inlineStr">
        <is>
          <t>Process</t>
        </is>
      </c>
      <c r="D28" s="69" t="n">
        <v>0</v>
      </c>
      <c r="E28" s="69" t="n">
        <v>150</v>
      </c>
      <c r="F28" s="69" t="n">
        <v>3000</v>
      </c>
      <c r="G28" s="69" t="inlineStr">
        <is>
          <t>ASTM A216 WCB</t>
        </is>
      </c>
      <c r="H28" s="69" t="inlineStr">
        <is>
          <t>SS316</t>
        </is>
      </c>
      <c r="I28" s="69" t="inlineStr">
        <is>
          <t>SS316</t>
        </is>
      </c>
      <c r="J28" s="69" t="inlineStr">
        <is>
          <t>SS316</t>
        </is>
      </c>
      <c r="K28" s="69" t="inlineStr">
        <is>
          <t>SS316</t>
        </is>
      </c>
      <c r="L28" s="69" t="inlineStr">
        <is>
          <t>Mechanical Seal</t>
        </is>
      </c>
      <c r="M28" s="69" t="inlineStr">
        <is>
          <t>Plan 11</t>
        </is>
      </c>
      <c r="N28" s="69" t="inlineStr">
        <is>
          <t>A193 B7</t>
        </is>
      </c>
      <c r="O28" s="69" t="inlineStr">
        <is>
          <t>—</t>
        </is>
      </c>
      <c r="P28" s="69" t="inlineStr">
        <is>
          <t>DEFAULT: Conservative selection for unknown process fluid; engineer to review</t>
        </is>
      </c>
    </row>
    <row r="29">
      <c r="A29" s="70" t="inlineStr">
        <is>
          <t>MAT-DEFAULT-SLURRY</t>
        </is>
      </c>
      <c r="B29" s="70" t="inlineStr">
        <is>
          <t>Any Slurry (fallback)</t>
        </is>
      </c>
      <c r="C29" s="70" t="inlineStr">
        <is>
          <t>Slurry</t>
        </is>
      </c>
      <c r="D29" s="70" t="n">
        <v>0</v>
      </c>
      <c r="E29" s="70" t="n">
        <v>100</v>
      </c>
      <c r="F29" s="70" t="n">
        <v>1000</v>
      </c>
      <c r="G29" s="70" t="inlineStr">
        <is>
          <t>ASTM A532 IIIA</t>
        </is>
      </c>
      <c r="H29" s="70" t="inlineStr">
        <is>
          <t>ASTM A532 IIIA</t>
        </is>
      </c>
      <c r="I29" s="70" t="inlineStr">
        <is>
          <t>EN24</t>
        </is>
      </c>
      <c r="J29" s="70" t="inlineStr">
        <is>
          <t>SS316</t>
        </is>
      </c>
      <c r="K29" s="70" t="inlineStr">
        <is>
          <t>N/A</t>
        </is>
      </c>
      <c r="L29" s="70" t="inlineStr">
        <is>
          <t>Mech Seal + SLD</t>
        </is>
      </c>
      <c r="M29" s="70" t="inlineStr">
        <is>
          <t>Plan 62</t>
        </is>
      </c>
      <c r="N29" s="70" t="inlineStr">
        <is>
          <t>Steel TZN</t>
        </is>
      </c>
      <c r="O29" s="70" t="inlineStr">
        <is>
          <t>—</t>
        </is>
      </c>
      <c r="P29" s="70" t="inlineStr">
        <is>
          <t>DEFAULT: High chrome iron for all slurry fallbacks</t>
        </is>
      </c>
    </row>
    <row r="31" ht="16" customHeight="1" s="64">
      <c r="A31" s="74" t="inlineStr">
        <is>
          <t>B. GALVANIC COMPATIBILITY — MATERIAL PAIRING RULES (prevents galvanic corrosion)</t>
        </is>
      </c>
    </row>
    <row r="32">
      <c r="A32" s="68" t="inlineStr">
        <is>
          <t>Material_A</t>
        </is>
      </c>
      <c r="B32" s="68" t="inlineStr">
        <is>
          <t>Material_B</t>
        </is>
      </c>
      <c r="C32" s="68" t="inlineStr">
        <is>
          <t>Compatibility</t>
        </is>
      </c>
      <c r="D32" s="68" t="inlineStr">
        <is>
          <t>Risk_Level</t>
        </is>
      </c>
      <c r="E32" s="68" t="inlineStr">
        <is>
          <t>Notes</t>
        </is>
      </c>
    </row>
    <row r="33">
      <c r="A33" s="69" t="inlineStr">
        <is>
          <t>SS304</t>
        </is>
      </c>
      <c r="B33" s="69" t="inlineStr">
        <is>
          <t>SS316</t>
        </is>
      </c>
      <c r="C33" s="69" t="inlineStr">
        <is>
          <t>COMPATIBLE</t>
        </is>
      </c>
      <c r="D33" s="69" t="inlineStr">
        <is>
          <t>Low</t>
        </is>
      </c>
      <c r="E33" s="69" t="inlineStr">
        <is>
          <t>Same family stainless; minor galvanic effect</t>
        </is>
      </c>
    </row>
    <row r="34">
      <c r="A34" s="70" t="inlineStr">
        <is>
          <t>SS316</t>
        </is>
      </c>
      <c r="B34" s="70" t="inlineStr">
        <is>
          <t>Duplex 2205</t>
        </is>
      </c>
      <c r="C34" s="70" t="inlineStr">
        <is>
          <t>COMPATIBLE</t>
        </is>
      </c>
      <c r="D34" s="70" t="inlineStr">
        <is>
          <t>Low</t>
        </is>
      </c>
      <c r="E34" s="70" t="inlineStr">
        <is>
          <t>Close in galvanic series; acceptable pairing</t>
        </is>
      </c>
    </row>
    <row r="35">
      <c r="A35" s="69" t="inlineStr">
        <is>
          <t>Carbon Steel (WCB)</t>
        </is>
      </c>
      <c r="B35" s="69" t="inlineStr">
        <is>
          <t>SS316</t>
        </is>
      </c>
      <c r="C35" s="69" t="inlineStr">
        <is>
          <t>MARGINAL</t>
        </is>
      </c>
      <c r="D35" s="69" t="inlineStr">
        <is>
          <t>Medium</t>
        </is>
      </c>
      <c r="E35" s="69" t="inlineStr">
        <is>
          <t>Couple in wet environment; CS will corrode preferentially; avoid in seawater</t>
        </is>
      </c>
    </row>
    <row r="36">
      <c r="A36" s="70" t="inlineStr">
        <is>
          <t>Carbon Steel (WCB)</t>
        </is>
      </c>
      <c r="B36" s="70" t="inlineStr">
        <is>
          <t>Bronze (LTB2)</t>
        </is>
      </c>
      <c r="C36" s="70" t="inlineStr">
        <is>
          <t>INCOMPATIBLE</t>
        </is>
      </c>
      <c r="D36" s="70" t="inlineStr">
        <is>
          <t>High</t>
        </is>
      </c>
      <c r="E36" s="70" t="inlineStr">
        <is>
          <t>Classic galvanic couple; bronze is cathodic; CS anode will corrode rapidly in conductive fluid</t>
        </is>
      </c>
    </row>
    <row r="37">
      <c r="A37" s="69" t="inlineStr">
        <is>
          <t>Carbon Steel (WCB)</t>
        </is>
      </c>
      <c r="B37" s="69" t="inlineStr">
        <is>
          <t>Cast Iron (FG260)</t>
        </is>
      </c>
      <c r="C37" s="69" t="inlineStr">
        <is>
          <t>COMPATIBLE</t>
        </is>
      </c>
      <c r="D37" s="69" t="inlineStr">
        <is>
          <t>Low</t>
        </is>
      </c>
      <c r="E37" s="69" t="inlineStr">
        <is>
          <t>Similar in galvanic series; acceptable pairing</t>
        </is>
      </c>
    </row>
    <row r="38">
      <c r="A38" s="70" t="inlineStr">
        <is>
          <t>SS410</t>
        </is>
      </c>
      <c r="B38" s="70" t="inlineStr">
        <is>
          <t>SS316</t>
        </is>
      </c>
      <c r="C38" s="70" t="inlineStr">
        <is>
          <t>COMPATIBLE</t>
        </is>
      </c>
      <c r="D38" s="70" t="inlineStr">
        <is>
          <t>Low</t>
        </is>
      </c>
      <c r="E38" s="70" t="inlineStr">
        <is>
          <t>Common pairing for shaft/sleeve; acceptable</t>
        </is>
      </c>
    </row>
    <row r="39">
      <c r="A39" s="69" t="inlineStr">
        <is>
          <t>High Chrome Iron (A532)</t>
        </is>
      </c>
      <c r="B39" s="69" t="inlineStr">
        <is>
          <t>SS316</t>
        </is>
      </c>
      <c r="C39" s="69" t="inlineStr">
        <is>
          <t>MARGINAL</t>
        </is>
      </c>
      <c r="D39" s="69" t="inlineStr">
        <is>
          <t>Medium</t>
        </is>
      </c>
      <c r="E39" s="69" t="inlineStr">
        <is>
          <t>Chrome iron more active; SS316 more noble; acceptable for slurry where chrome is predominant</t>
        </is>
      </c>
    </row>
    <row r="40">
      <c r="A40" s="70" t="inlineStr">
        <is>
          <t>Hastelloy C276</t>
        </is>
      </c>
      <c r="B40" s="70" t="inlineStr">
        <is>
          <t>SS316</t>
        </is>
      </c>
      <c r="C40" s="70" t="inlineStr">
        <is>
          <t>COMPATIBLE</t>
        </is>
      </c>
      <c r="D40" s="70" t="inlineStr">
        <is>
          <t>Low</t>
        </is>
      </c>
      <c r="E40" s="70" t="inlineStr">
        <is>
          <t>Hastelloy more noble but small area effect; acceptable</t>
        </is>
      </c>
    </row>
    <row r="41">
      <c r="A41" s="69" t="inlineStr">
        <is>
          <t>Copper Alloy (Bronze)</t>
        </is>
      </c>
      <c r="B41" s="69" t="inlineStr">
        <is>
          <t>Carbon Steel</t>
        </is>
      </c>
      <c r="C41" s="69" t="inlineStr">
        <is>
          <t>INCOMPATIBLE</t>
        </is>
      </c>
      <c r="D41" s="69" t="inlineStr">
        <is>
          <t>High</t>
        </is>
      </c>
      <c r="E41" s="69" t="inlineStr">
        <is>
          <t>Bronze cathodic to steel; avoid direct contact in submerged or wet service</t>
        </is>
      </c>
    </row>
    <row r="42">
      <c r="A42" s="70" t="inlineStr">
        <is>
          <t>Aluminum</t>
        </is>
      </c>
      <c r="B42" s="70" t="inlineStr">
        <is>
          <t>SS316</t>
        </is>
      </c>
      <c r="C42" s="70" t="inlineStr">
        <is>
          <t>MARGINAL</t>
        </is>
      </c>
      <c r="D42" s="70" t="inlineStr">
        <is>
          <t>Medium</t>
        </is>
      </c>
      <c r="E42" s="70" t="inlineStr">
        <is>
          <t>Large potential difference; avoid in conductive fluid; coating required</t>
        </is>
      </c>
    </row>
    <row r="43">
      <c r="A43" s="69" t="inlineStr">
        <is>
          <t>Titanium</t>
        </is>
      </c>
      <c r="B43" s="69" t="inlineStr">
        <is>
          <t>SS316</t>
        </is>
      </c>
      <c r="C43" s="69" t="inlineStr">
        <is>
          <t>COMPATIBLE</t>
        </is>
      </c>
      <c r="D43" s="69" t="inlineStr">
        <is>
          <t>Low</t>
        </is>
      </c>
      <c r="E43" s="69" t="inlineStr">
        <is>
          <t>Close in series; acceptable pairing</t>
        </is>
      </c>
    </row>
    <row r="44">
      <c r="A44" s="70" t="inlineStr">
        <is>
          <t>Duplex 2205</t>
        </is>
      </c>
      <c r="B44" s="70" t="inlineStr">
        <is>
          <t>Carbon Steel</t>
        </is>
      </c>
      <c r="C44" s="70" t="inlineStr">
        <is>
          <t>INCOMPATIBLE</t>
        </is>
      </c>
      <c r="D44" s="70" t="inlineStr">
        <is>
          <t>High</t>
        </is>
      </c>
      <c r="E44" s="70" t="inlineStr">
        <is>
          <t>Large potential difference; avoid in process fluid contact</t>
        </is>
      </c>
    </row>
    <row r="46" ht="16" customHeight="1" s="64">
      <c r="A46" s="74" t="inlineStr">
        <is>
          <t>C. TEMPERATURE LIMITS QUICK REFERENCE — MATERIAL vs MAX TEMPERATURE</t>
        </is>
      </c>
    </row>
    <row r="47">
      <c r="A47" s="68" t="inlineStr">
        <is>
          <t>Material_Code</t>
        </is>
      </c>
      <c r="B47" s="68" t="inlineStr">
        <is>
          <t>Material_Name</t>
        </is>
      </c>
      <c r="C47" s="68" t="inlineStr">
        <is>
          <t>Max_Temp_C</t>
        </is>
      </c>
      <c r="D47" s="68" t="inlineStr">
        <is>
          <t>Failure_Mode_Above_Limit</t>
        </is>
      </c>
      <c r="E47" s="68" t="inlineStr">
        <is>
          <t>Notes</t>
        </is>
      </c>
    </row>
    <row r="48">
      <c r="A48" s="69" t="inlineStr">
        <is>
          <t>CI-FG260</t>
        </is>
      </c>
      <c r="B48" s="69" t="inlineStr">
        <is>
          <t>Cast Iron FG 260</t>
        </is>
      </c>
      <c r="C48" s="69" t="n">
        <v>250</v>
      </c>
      <c r="D48" s="69" t="inlineStr">
        <is>
          <t>Oxidation; loss of strength; thermal cracking</t>
        </is>
      </c>
      <c r="E48" s="69" t="inlineStr">
        <is>
          <t>Do not use for steam or high-temp process</t>
        </is>
      </c>
    </row>
    <row r="49">
      <c r="A49" s="70" t="inlineStr">
        <is>
          <t>A216-WCB</t>
        </is>
      </c>
      <c r="B49" s="70" t="inlineStr">
        <is>
          <t>Carbon Steel WCB</t>
        </is>
      </c>
      <c r="C49" s="70" t="n">
        <v>425</v>
      </c>
      <c r="D49" s="70" t="inlineStr">
        <is>
          <t>Graphitization above 427°C; loss of ductility</t>
        </is>
      </c>
      <c r="E49" s="70" t="inlineStr">
        <is>
          <t>Standard process service up to 425°C</t>
        </is>
      </c>
    </row>
    <row r="50">
      <c r="A50" s="69" t="inlineStr">
        <is>
          <t>SS304</t>
        </is>
      </c>
      <c r="B50" s="69" t="inlineStr">
        <is>
          <t>SS304 Stainless</t>
        </is>
      </c>
      <c r="C50" s="69" t="n">
        <v>870</v>
      </c>
      <c r="D50" s="69" t="inlineStr">
        <is>
          <t>Sensitization 425-850°C range → intergranular corrosion</t>
        </is>
      </c>
      <c r="E50" s="69" t="inlineStr">
        <is>
          <t>Use SS304L or SS316L in welded construction</t>
        </is>
      </c>
    </row>
    <row r="51">
      <c r="A51" s="70" t="inlineStr">
        <is>
          <t>SS316</t>
        </is>
      </c>
      <c r="B51" s="70" t="inlineStr">
        <is>
          <t>SS316 Stainless</t>
        </is>
      </c>
      <c r="C51" s="70" t="n">
        <v>870</v>
      </c>
      <c r="D51" s="70" t="inlineStr">
        <is>
          <t>Similar to SS304; better pitting resistance</t>
        </is>
      </c>
      <c r="E51" s="70" t="inlineStr">
        <is>
          <t>Preferred over SS304 in chloride environments</t>
        </is>
      </c>
    </row>
    <row r="52">
      <c r="A52" s="69" t="inlineStr">
        <is>
          <t>CF8M-SS316</t>
        </is>
      </c>
      <c r="B52" s="69" t="inlineStr">
        <is>
          <t>CF8M Cast SS316</t>
        </is>
      </c>
      <c r="C52" s="69" t="n">
        <v>538</v>
      </c>
      <c r="D52" s="69" t="inlineStr">
        <is>
          <t>Sigma phase formation above 650°C</t>
        </is>
      </c>
      <c r="E52" s="69" t="inlineStr">
        <is>
          <t>Cast equivalent of SS316</t>
        </is>
      </c>
    </row>
    <row r="53">
      <c r="A53" s="70" t="inlineStr">
        <is>
          <t>A487-CA6M</t>
        </is>
      </c>
      <c r="B53" s="70" t="inlineStr">
        <is>
          <t>12% Chrome Steel</t>
        </is>
      </c>
      <c r="C53" s="70" t="n">
        <v>450</v>
      </c>
      <c r="D53" s="70" t="inlineStr">
        <is>
          <t>Oxidation; loss of ductility</t>
        </is>
      </c>
      <c r="E53" s="70" t="inlineStr">
        <is>
          <t>Impellers, wear rings in high-wear service</t>
        </is>
      </c>
    </row>
    <row r="54">
      <c r="A54" s="69" t="inlineStr">
        <is>
          <t>BRONZE-LTB2</t>
        </is>
      </c>
      <c r="B54" s="69" t="inlineStr">
        <is>
          <t>Phosphor Bronze LTB2</t>
        </is>
      </c>
      <c r="C54" s="69" t="n">
        <v>200</v>
      </c>
      <c r="D54" s="69" t="inlineStr">
        <is>
          <t>Dezincification possible in hot water; loss of hardness</t>
        </is>
      </c>
      <c r="E54" s="69" t="inlineStr">
        <is>
          <t>Limit to 200°C; do not use in steam condensate</t>
        </is>
      </c>
    </row>
    <row r="55">
      <c r="A55" s="70" t="inlineStr">
        <is>
          <t>BRONZE-LTB5</t>
        </is>
      </c>
      <c r="B55" s="70" t="inlineStr">
        <is>
          <t>Phosphor Bronze LTB5</t>
        </is>
      </c>
      <c r="C55" s="70" t="n">
        <v>200</v>
      </c>
      <c r="D55" s="70" t="inlineStr">
        <is>
          <t>Same as LTB2</t>
        </is>
      </c>
      <c r="E55" s="70" t="inlineStr">
        <is>
          <t>Higher grade; better wear; same temp limit</t>
        </is>
      </c>
    </row>
    <row r="56">
      <c r="A56" s="69" t="inlineStr">
        <is>
          <t>ASTM-A532-IIIA</t>
        </is>
      </c>
      <c r="B56" s="69" t="inlineStr">
        <is>
          <t>High Chrome White Iron</t>
        </is>
      </c>
      <c r="C56" s="69" t="n">
        <v>400</v>
      </c>
      <c r="D56" s="69" t="inlineStr">
        <is>
          <t>Thermal shock cracking; not suitable for thermal cycling</t>
        </is>
      </c>
      <c r="E56" s="69" t="inlineStr">
        <is>
          <t>Excellent abrasion; brittle; avoid impact loading</t>
        </is>
      </c>
    </row>
    <row r="57">
      <c r="A57" s="70" t="inlineStr">
        <is>
          <t>THORDON</t>
        </is>
      </c>
      <c r="B57" s="70" t="inlineStr">
        <is>
          <t>Thordon Polymer Bearing</t>
        </is>
      </c>
      <c r="C57" s="70" t="n">
        <v>80</v>
      </c>
      <c r="D57" s="70" t="inlineStr">
        <is>
          <t>Swelling; loss of dimensional stability</t>
        </is>
      </c>
      <c r="E57" s="70" t="inlineStr">
        <is>
          <t>Water-lubricated; do not use above 80°C</t>
        </is>
      </c>
    </row>
    <row r="58">
      <c r="A58" s="69" t="inlineStr">
        <is>
          <t>NBR-70</t>
        </is>
      </c>
      <c r="B58" s="69" t="inlineStr">
        <is>
          <t>Nitrile Rubber NBR 70°</t>
        </is>
      </c>
      <c r="C58" s="69" t="n">
        <v>100</v>
      </c>
      <c r="D58" s="69" t="inlineStr">
        <is>
          <t>Hardening; cracking; loss of seal integrity</t>
        </is>
      </c>
      <c r="E58" s="69" t="inlineStr">
        <is>
          <t>For O-rings/gaskets in water/oil service</t>
        </is>
      </c>
    </row>
    <row r="59">
      <c r="A59" s="70" t="inlineStr">
        <is>
          <t>SS2324-DUPLEX</t>
        </is>
      </c>
      <c r="B59" s="70" t="inlineStr">
        <is>
          <t>Lean Duplex SS2324</t>
        </is>
      </c>
      <c r="C59" s="70" t="n">
        <v>300</v>
      </c>
      <c r="D59" s="70" t="inlineStr">
        <is>
          <t>Loss of duplex microstructure above 280°C</t>
        </is>
      </c>
      <c r="E59" s="70" t="inlineStr">
        <is>
          <t>Process condensate; better than SS304 for corrosion</t>
        </is>
      </c>
    </row>
    <row r="60">
      <c r="A60" s="69" t="inlineStr">
        <is>
          <t>EN24-STEEL</t>
        </is>
      </c>
      <c r="B60" s="69" t="inlineStr">
        <is>
          <t>EN24 Alloy Steel</t>
        </is>
      </c>
      <c r="C60" s="69" t="n">
        <v>450</v>
      </c>
      <c r="D60" s="69" t="inlineStr">
        <is>
          <t>Tempering; loss of hardness</t>
        </is>
      </c>
      <c r="E60" s="69" t="inlineStr">
        <is>
          <t>Pump shafts; high tensile; quench &amp; temper condition</t>
        </is>
      </c>
    </row>
    <row r="61">
      <c r="A61" s="70" t="inlineStr">
        <is>
          <t>SS410-BAR</t>
        </is>
      </c>
      <c r="B61" s="70" t="inlineStr">
        <is>
          <t>SS410 Bar/Rod</t>
        </is>
      </c>
      <c r="C61" s="70" t="n">
        <v>400</v>
      </c>
      <c r="D61" s="70" t="inlineStr">
        <is>
          <t>Loss of martensitic structure; oxidation</t>
        </is>
      </c>
      <c r="E61" s="70" t="inlineStr">
        <is>
          <t>Shafts and line shafts; VTP service</t>
        </is>
      </c>
    </row>
    <row r="63" ht="16" customHeight="1" s="64">
      <c r="A63" s="74" t="inlineStr">
        <is>
          <t>D. PYTHON LOOKUP LOGIC — HOW app.py QUERIES THIS SHEET</t>
        </is>
      </c>
    </row>
    <row r="64">
      <c r="A64" s="66" t="inlineStr">
        <is>
          <t>PSEUDOCODE for material_selection_engine.py:
def select_material(fluid, temp_C, pressure_kPa, pump_type):
    # 1. Load Material_Compatibility sheet as DataFrame
    df = pd.read_excel("Component_Library.xlsx", sheet_name="Material_Compatibility")
    # 2. Filter: exact fluid match first
    match = df[(df.Fluid_Type.str.contains(fluid, case=False)) &amp;
               (df.Temp_Min_C &lt;= temp_C) &amp; (df.Temp_Max_C &gt;= temp_C) &amp;
               (df.Pressure_Max_kPa &gt;= pressure_kPa)]
    # 3. If no exact match, use fluid category
    if match.empty:
        category = classify_fluid(fluid)  # returns e.g. "Clean Water", "Slurry", etc.
        match = df[df.Fluid_Category == category]
    # 4. If still no match, use DEFAULT rule
    if match.empty:
        match = df[df.Rule_ID.str.startswith("MAT-DEFAULT")]
    # 5. Return materials dict
    return {"casing": match.Casing_MOC.iloc[0],
            "impeller": match.Impeller_MOC.iloc[0],
            "shaft": match.Shaft_MOC.iloc[0],
            "seal_plan": match.Seal_Plan.iloc[0]}</t>
        </is>
      </c>
    </row>
    <row r="66" ht="16" customHeight="1" s="64">
      <c r="A66" s="74" t="inlineStr">
        <is>
          <t>E. SURFACE PROTECTION &amp; PAINTING STANDARDS</t>
        </is>
      </c>
    </row>
    <row r="67">
      <c r="A67" s="68" t="inlineStr">
        <is>
          <t>Service</t>
        </is>
      </c>
      <c r="B67" s="68" t="inlineStr">
        <is>
          <t>Surface_Prep</t>
        </is>
      </c>
      <c r="C67" s="68" t="inlineStr">
        <is>
          <t>Primer</t>
        </is>
      </c>
      <c r="D67" s="68" t="inlineStr">
        <is>
          <t>Topcoat</t>
        </is>
      </c>
      <c r="E67" s="68" t="inlineStr">
        <is>
          <t>DFT_microns</t>
        </is>
      </c>
      <c r="F67" s="68" t="inlineStr">
        <is>
          <t>Color_RAL</t>
        </is>
      </c>
      <c r="G67" s="68" t="inlineStr">
        <is>
          <t>Notes</t>
        </is>
      </c>
    </row>
    <row r="68">
      <c r="A68" s="69" t="inlineStr">
        <is>
          <t>General Industrial (outdoor)</t>
        </is>
      </c>
      <c r="B68" s="69" t="inlineStr">
        <is>
          <t>SA 2.5</t>
        </is>
      </c>
      <c r="C68" s="69" t="inlineStr">
        <is>
          <t>Epoxy Zinc Phosphate 2×40µm</t>
        </is>
      </c>
      <c r="D68" s="69" t="inlineStr">
        <is>
          <t>Polyurethane 1×40µm</t>
        </is>
      </c>
      <c r="E68" s="69" t="inlineStr">
        <is>
          <t>120 min</t>
        </is>
      </c>
      <c r="F68" s="69" t="inlineStr">
        <is>
          <t>RAL 7033</t>
        </is>
      </c>
      <c r="G68" s="69" t="inlineStr">
        <is>
          <t>Per GPS300 (Metso standard); Zetwerk projects</t>
        </is>
      </c>
    </row>
    <row r="69">
      <c r="A69" s="70" t="inlineStr">
        <is>
          <t>Water supply pump (outdoor)</t>
        </is>
      </c>
      <c r="B69" s="70" t="inlineStr">
        <is>
          <t>SA 2.5</t>
        </is>
      </c>
      <c r="C69" s="70" t="inlineStr">
        <is>
          <t>Epoxy primer 40µm</t>
        </is>
      </c>
      <c r="D69" s="70" t="inlineStr">
        <is>
          <t>Acrylic topcoat 40µm</t>
        </is>
      </c>
      <c r="E69" s="70" t="inlineStr">
        <is>
          <t>80 min</t>
        </is>
      </c>
      <c r="F69" s="70" t="inlineStr">
        <is>
          <t>RAL 5010 (Blue)</t>
        </is>
      </c>
      <c r="G69" s="70" t="inlineStr">
        <is>
          <t>KECL motor standard; RAL 5010 blue</t>
        </is>
      </c>
    </row>
    <row r="70">
      <c r="A70" s="69" t="inlineStr">
        <is>
          <t>Slurry pump components</t>
        </is>
      </c>
      <c r="B70" s="69" t="inlineStr">
        <is>
          <t>SA 2.5</t>
        </is>
      </c>
      <c r="C70" s="69" t="inlineStr">
        <is>
          <t>Epoxy primer 80µm</t>
        </is>
      </c>
      <c r="D70" s="69" t="inlineStr">
        <is>
          <t>Polyurethane 40µm</t>
        </is>
      </c>
      <c r="E70" s="69" t="inlineStr">
        <is>
          <t>120 min</t>
        </is>
      </c>
      <c r="F70" s="69" t="inlineStr">
        <is>
          <t>RAL 7033 (Grey)</t>
        </is>
      </c>
      <c r="G70" s="69" t="inlineStr">
        <is>
          <t>External surfaces only; wetted parts no coating</t>
        </is>
      </c>
    </row>
    <row r="71">
      <c r="A71" s="70" t="inlineStr">
        <is>
          <t>Baseplate (IS 2062)</t>
        </is>
      </c>
      <c r="B71" s="70" t="inlineStr">
        <is>
          <t>SA 2.5</t>
        </is>
      </c>
      <c r="C71" s="70" t="inlineStr">
        <is>
          <t>Epoxy Zinc Rich primer 60µm</t>
        </is>
      </c>
      <c r="D71" s="70" t="inlineStr">
        <is>
          <t>Polyurethane 60µm</t>
        </is>
      </c>
      <c r="E71" s="70" t="inlineStr">
        <is>
          <t>120 min</t>
        </is>
      </c>
      <c r="F71" s="70" t="inlineStr">
        <is>
          <t>RAL 7033</t>
        </is>
      </c>
      <c r="G71" s="70" t="inlineStr">
        <is>
          <t>Standard for Zetwerk LSTK projects</t>
        </is>
      </c>
    </row>
    <row r="72">
      <c r="A72" s="69" t="inlineStr">
        <is>
          <t>Motor (standard)</t>
        </is>
      </c>
      <c r="B72" s="69" t="inlineStr">
        <is>
          <t>SA 2.0</t>
        </is>
      </c>
      <c r="C72" s="69" t="inlineStr">
        <is>
          <t>Primer 25µm</t>
        </is>
      </c>
      <c r="D72" s="69" t="inlineStr">
        <is>
          <t>Enamel/PU 25µm</t>
        </is>
      </c>
      <c r="E72" s="69" t="inlineStr">
        <is>
          <t>50 min</t>
        </is>
      </c>
      <c r="F72" s="69" t="inlineStr">
        <is>
          <t>Per motor mfr std</t>
        </is>
      </c>
      <c r="G72" s="69" t="inlineStr">
        <is>
          <t>Motor manufacturer applies; RAL 5010 or 7033</t>
        </is>
      </c>
    </row>
    <row r="73">
      <c r="A73" s="70" t="inlineStr">
        <is>
          <t>VTP column/discharge head</t>
        </is>
      </c>
      <c r="B73" s="70" t="inlineStr">
        <is>
          <t>SA 2.0</t>
        </is>
      </c>
      <c r="C73" s="70" t="inlineStr">
        <is>
          <t>Epoxy primer 40µm</t>
        </is>
      </c>
      <c r="D73" s="70" t="inlineStr">
        <is>
          <t>Polyurethane 40µm</t>
        </is>
      </c>
      <c r="E73" s="70" t="inlineStr">
        <is>
          <t>80 min</t>
        </is>
      </c>
      <c r="F73" s="70" t="inlineStr">
        <is>
          <t>RAL 7033</t>
        </is>
      </c>
      <c r="G73" s="70" t="inlineStr">
        <is>
          <t>External surfaces; internal no coat for water service</t>
        </is>
      </c>
    </row>
    <row r="74">
      <c r="A74" s="69" t="inlineStr">
        <is>
          <t>Acoustic enclosure panels</t>
        </is>
      </c>
      <c r="B74" s="69" t="inlineStr">
        <is>
          <t>SA 2.5</t>
        </is>
      </c>
      <c r="C74" s="69" t="inlineStr">
        <is>
          <t>Epoxy primer 40µm</t>
        </is>
      </c>
      <c r="D74" s="69" t="inlineStr">
        <is>
          <t>Polyurethane 40µm</t>
        </is>
      </c>
      <c r="E74" s="69" t="inlineStr">
        <is>
          <t>80 min</t>
        </is>
      </c>
      <c r="F74" s="69" t="inlineStr">
        <is>
          <t>RAL 7033</t>
        </is>
      </c>
      <c r="G74" s="69" t="inlineStr">
        <is>
          <t>Modular steel panels; exterior and interior coated</t>
        </is>
      </c>
    </row>
    <row r="75">
      <c r="A75" s="70" t="inlineStr">
        <is>
          <t>Acid service (external)</t>
        </is>
      </c>
      <c r="B75" s="70" t="inlineStr">
        <is>
          <t>SA 2.5</t>
        </is>
      </c>
      <c r="C75" s="70" t="inlineStr">
        <is>
          <t>Chemical resistant epoxy 60µm</t>
        </is>
      </c>
      <c r="D75" s="70" t="inlineStr">
        <is>
          <t>Chemical resistant PU 60µm</t>
        </is>
      </c>
      <c r="E75" s="70" t="inlineStr">
        <is>
          <t>120 min</t>
        </is>
      </c>
      <c r="F75" s="70" t="inlineStr">
        <is>
          <t>VTA</t>
        </is>
      </c>
      <c r="G75" s="70" t="inlineStr">
        <is>
          <t>Special chemical resistant coating for acid environment</t>
        </is>
      </c>
    </row>
  </sheetData>
  <mergeCells count="8">
    <mergeCell ref="A31:N31"/>
    <mergeCell ref="A4:N4"/>
    <mergeCell ref="A2:N2"/>
    <mergeCell ref="A64:N64"/>
    <mergeCell ref="A63:N63"/>
    <mergeCell ref="A46:N46"/>
    <mergeCell ref="A66:N6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2026-02-23T12:50:33Z</dcterms:created>
  <dcterms:modified xmlns:dcterms="http://purl.org/dc/terms/" xmlns:xsi="http://www.w3.org/2001/XMLSchema-instance" xsi:type="dcterms:W3CDTF">2026-04-10T10:20:01Z</dcterms:modified>
  <cp:lastModifiedBy>Ayush  Kamle (I)</cp:lastModifiedBy>
</cp:coreProperties>
</file>